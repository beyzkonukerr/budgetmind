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baharatbas/Downloads/"/>
    </mc:Choice>
  </mc:AlternateContent>
  <xr:revisionPtr revIDLastSave="0" documentId="13_ncr:1_{BB79FB49-A68F-D94A-A344-9C077F7CC8B6}" xr6:coauthVersionLast="47" xr6:coauthVersionMax="47" xr10:uidLastSave="{00000000-0000-0000-0000-000000000000}"/>
  <bookViews>
    <workbookView xWindow="0" yWindow="0" windowWidth="28800" windowHeight="18000" activeTab="2" xr2:uid="{00000000-000D-0000-FFFF-FFFF00000000}"/>
  </bookViews>
  <sheets>
    <sheet name="Form Yanıtları 1" sheetId="1" r:id="rId1"/>
    <sheet name="Sunum Hafta 4" sheetId="2" r:id="rId2"/>
    <sheet name="Sunum Hafta 5" sheetId="3" r:id="rId3"/>
    <sheet name="Sunum Hafta 6"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4" l="1"/>
  <c r="B42" i="4"/>
  <c r="B41" i="4"/>
  <c r="B40" i="4"/>
  <c r="B39" i="4"/>
  <c r="B38" i="4"/>
  <c r="B37" i="4"/>
  <c r="B36" i="4"/>
  <c r="L30" i="4"/>
  <c r="K30" i="4"/>
  <c r="J30" i="4"/>
  <c r="I30" i="4"/>
  <c r="H30" i="4"/>
  <c r="F30" i="4"/>
  <c r="E30" i="4"/>
  <c r="D30" i="4"/>
</calcChain>
</file>

<file path=xl/sharedStrings.xml><?xml version="1.0" encoding="utf-8"?>
<sst xmlns="http://schemas.openxmlformats.org/spreadsheetml/2006/main" count="908" uniqueCount="688">
  <si>
    <t>Zaman damgası</t>
  </si>
  <si>
    <t>E-posta Adresi</t>
  </si>
  <si>
    <t>1.Yaşınız kaçtır?</t>
  </si>
  <si>
    <t>2.Cinsiyetiniz nedir?</t>
  </si>
  <si>
    <t>3.Hangi bölümde okuyorsunuz?</t>
  </si>
  <si>
    <t>4.Aylık ortalama geliriniz ne kadardır?</t>
  </si>
  <si>
    <t>5.Aylık ortalama harcamanız ne kadardır?</t>
  </si>
  <si>
    <t>6.En çok harcama yaptığınız alan hangisidir?</t>
  </si>
  <si>
    <t>7.Aylık harcamalarınızı takip ediyor musunuz?</t>
  </si>
  <si>
    <t>8.Aylık bütçe planı yapıyor musunuz?</t>
  </si>
  <si>
    <t>9.Düzenli olarak tasarruf yapıyor musunuz?</t>
  </si>
  <si>
    <t>10.Harcamalarınız nedeniyle finansal stres yaşıyor musunuz?</t>
  </si>
  <si>
    <t>11.Ay sonunu getirmekte zorlanıyorum.</t>
  </si>
  <si>
    <t>12.Harcamalarımı kontrol etmekte zorlanıyorum.</t>
  </si>
  <si>
    <t>13.Beklenmedik bir gider çıktığında zorlanırım.</t>
  </si>
  <si>
    <t>14.Finansal durumum beni stresli hissettirir.</t>
  </si>
  <si>
    <t>bkonuker@gmail.com</t>
  </si>
  <si>
    <t>Kadın</t>
  </si>
  <si>
    <t>bilişim sistemleri ve teknolojileri</t>
  </si>
  <si>
    <t>4000 – 6000 TL</t>
  </si>
  <si>
    <t>Yemek</t>
  </si>
  <si>
    <t>Evet, düzenli olarak takip ediyorum</t>
  </si>
  <si>
    <t>Evet</t>
  </si>
  <si>
    <t>Bazen</t>
  </si>
  <si>
    <t>Evet, sık sık</t>
  </si>
  <si>
    <t>goruc38@gmail.com</t>
  </si>
  <si>
    <t xml:space="preserve">Tıbbi Görüntüleme Teknikleri </t>
  </si>
  <si>
    <t>0 – 2000 TL</t>
  </si>
  <si>
    <t>Hayır, takip etmiyorum</t>
  </si>
  <si>
    <t>Hayır</t>
  </si>
  <si>
    <t>busenaycl@gmail.com</t>
  </si>
  <si>
    <t xml:space="preserve">Sosya hizmet </t>
  </si>
  <si>
    <t>8000 TL ve üzeri</t>
  </si>
  <si>
    <t>6000 – 8000 TL</t>
  </si>
  <si>
    <t>rabiaist.04@gmail.com</t>
  </si>
  <si>
    <t xml:space="preserve">Ameliyathane hizmetleri </t>
  </si>
  <si>
    <t>2000 – 4000 TL</t>
  </si>
  <si>
    <t>Ulaşım</t>
  </si>
  <si>
    <t>Nadiren</t>
  </si>
  <si>
    <t>azrumeysa31@gmail.com</t>
  </si>
  <si>
    <t xml:space="preserve">İş Sağlığı ve Güvenliği </t>
  </si>
  <si>
    <t>Bazen takip ediyorum</t>
  </si>
  <si>
    <t>ai.hyrlh@gmail.com</t>
  </si>
  <si>
    <t>Erkek</t>
  </si>
  <si>
    <t>Mekatronik mühendisliği</t>
  </si>
  <si>
    <t>abdulsametkankal@gmail.com</t>
  </si>
  <si>
    <t xml:space="preserve">Hukuk </t>
  </si>
  <si>
    <t>ferit01trkm@gmail.com</t>
  </si>
  <si>
    <t>İktisat</t>
  </si>
  <si>
    <t>Eğlence</t>
  </si>
  <si>
    <t>esrabalcioglu192@gmail.com</t>
  </si>
  <si>
    <t xml:space="preserve">Beslenme ve diyetetik </t>
  </si>
  <si>
    <t>📊  HAFTA 4 – YÖNETİM BİLİŞİM SİSTEMLERİ</t>
  </si>
  <si>
    <t>━━━━━━━━━━━━━━━  UYGULAMALI ANALİZ BÖLÜMÜ  ━━━━━━━━━━━━━━━</t>
  </si>
  <si>
    <t>Üniversite Öğrencileri Harcama Alışkanlıkları – TÜBİTAK Projesi  |  Hazırlayan: Beyza Konuker</t>
  </si>
  <si>
    <t>🧹  A. TEMİZLENMİŞ &amp; KODLANMIŞ VERİ SETİ</t>
  </si>
  <si>
    <t>1️⃣  BİLGİ PİRAMİDİ  (Veri → Enformasyon → Bilgi → Bilgelik → İçgörü)</t>
  </si>
  <si>
    <t>YAPILAN TEMİZLEME İŞLEMLERİ</t>
  </si>
  <si>
    <t>KATEGORİ</t>
  </si>
  <si>
    <t>PROJEDEKİ İÇERİK</t>
  </si>
  <si>
    <t>ÖRNEK (Veri Setinden)</t>
  </si>
  <si>
    <t>AMAÇ / KULLANIM</t>
  </si>
  <si>
    <t>Yazım Hatası</t>
  </si>
  <si>
    <t>'Sosya hizmet' → 'Sosyal Hizmet' (Katılımcı #3)</t>
  </si>
  <si>
    <t>İÇGÖRÜ (Insight)</t>
  </si>
  <si>
    <t>Öğrencilerin finansal farkındalık düzeylerindeki derin örüntüler ve gizli risk faktörleri</t>
  </si>
  <si>
    <t>Düşük gelir + Bütçe yok + Stres yüksek → 'Finansal kırılganlık sendromu'</t>
  </si>
  <si>
    <t>Proaktif önlem; kişiselleştirilmiş strateji üretmek</t>
  </si>
  <si>
    <t>Gelir Kodlama</t>
  </si>
  <si>
    <t>0-2000→1000 | 2000-4000→3000 | 4000-6000→5000 | 6000-8000→7000 | 8000+→9000 TL</t>
  </si>
  <si>
    <t>BİLGELİK (Wisdom)</t>
  </si>
  <si>
    <t>Finansal davranış örüntülerine dayalı normatif öneriler ve rehberlik modeli</t>
  </si>
  <si>
    <t>Harcama takibi yapanların tasarruf oranı %40 daha yüksek → 'Dijital bütçe aracı kullan'</t>
  </si>
  <si>
    <t>Sürdürülebilir finansal davranış modeli geliştirmek</t>
  </si>
  <si>
    <t>Stres İndeksi</t>
  </si>
  <si>
    <t>Stres İndeksi = Q11 + Q12 + Q13 + Q14  (Min:4, Max:20)</t>
  </si>
  <si>
    <t>BİLGİ (Knowledge)</t>
  </si>
  <si>
    <t>İstatistiksel analizlerle üretilen korelasyon, regresyon ve kümeleme bulguları</t>
  </si>
  <si>
    <t>Gelir–tasarruf korelasyonu r=0.72; Stres skoru ile bütçesizlik arasında anlamlı ilişki</t>
  </si>
  <si>
    <t>Harcama davranışı–finansal stres ilişkisini bilimsel olarak kanıtlamak</t>
  </si>
  <si>
    <t>Stres Kategorisi</t>
  </si>
  <si>
    <t>Düşük: 4–8  |  Orta: 9–13  |  Yüksek: 14–20</t>
  </si>
  <si>
    <t>ENFORMASYON (Information)</t>
  </si>
  <si>
    <t>Ham verilerin işlenerek anlam kazandığı istatistiksel özetler ve grafikler</t>
  </si>
  <si>
    <t>Katılımcıların %67'si yemek harcamasını öncelikli sıralıyor; ortalama harcama 4.000–6.000 TL</t>
  </si>
  <si>
    <t>Harcama dağılımını görselleştirmek; karar alıcılara anlamlı bilgi sunmak</t>
  </si>
  <si>
    <t>Davranış Kodlama</t>
  </si>
  <si>
    <t>Evet=1  |  Bazen=0.5  |  Hayır=0</t>
  </si>
  <si>
    <t>VERİ (Data)</t>
  </si>
  <si>
    <t>Çevrim içi form aracılığıyla toplanan ham, işlenmemiş yanıtlar</t>
  </si>
  <si>
    <t>Yaş:22, Kadın, BST, Gelir:4000–6000 TL, Harcama:4000–6000 TL, Yemek, Stres:Sık sık</t>
  </si>
  <si>
    <t>Analize konu olacak ham materyali toplamak;Analize konu olacak ham materyali toplamak; araştırmanın birincil veri tabanını oluşturmak</t>
  </si>
  <si>
    <t>TEMİZLENMİŞ VERİ SETİ (n=9)</t>
  </si>
  <si>
    <t>2️⃣  VERİ YAŞAM DÖNGÜSÜ  (Projeye Uygulanmış Hali)</t>
  </si>
  <si>
    <t>KATILIMCl / BÖLÜM</t>
  </si>
  <si>
    <t>YAŞ &amp; CİNSİYET</t>
  </si>
  <si>
    <t>GELİR (TL) / HARCAMA (TL)</t>
  </si>
  <si>
    <t>TAKİP / BÜTÇE / TASARRUF</t>
  </si>
  <si>
    <t>STRES (Q11+Q12+Q13+Q14) = İNDEKS / KATEGORİ</t>
  </si>
  <si>
    <t>AŞAMA</t>
  </si>
  <si>
    <t>AÇIKLAMA</t>
  </si>
  <si>
    <t>PROJEDEKİ UYGULAMA</t>
  </si>
  <si>
    <t>ARAÇ / YÖNTEM</t>
  </si>
  <si>
    <t>#1 – BST</t>
  </si>
  <si>
    <t>22 / Kadın</t>
  </si>
  <si>
    <t>5.000 / 5.000</t>
  </si>
  <si>
    <t>Evet / Evet / Bazen</t>
  </si>
  <si>
    <t>3+2+3+5 = 13 → ORTA</t>
  </si>
  <si>
    <t>1. Toplama</t>
  </si>
  <si>
    <t>Verinin birincil kaynaklardan elde edilmesi</t>
  </si>
  <si>
    <t>Google Forms aracılığıyla 9 öğrenciden demografik, finansal ve psikolojik stres verileri toplanmıştır. Sorular: yaş, gelir, harcama, tasarruf, stres düzeyi (1–5 ölçeği).</t>
  </si>
  <si>
    <t>Google Forms, Likert ölçeği</t>
  </si>
  <si>
    <t>#2 – Tıbbi Görüntüleme</t>
  </si>
  <si>
    <t>23 / Kadın</t>
  </si>
  <si>
    <t>1.000 / 1.000</t>
  </si>
  <si>
    <t>Hayır / Hayır / Evet</t>
  </si>
  <si>
    <t>5+1+5+5 = 16 → YÜKSEK</t>
  </si>
  <si>
    <t>2. Saklama</t>
  </si>
  <si>
    <t>Toplanan verinin güvenli biçimde depolanması</t>
  </si>
  <si>
    <t>Form yanıtları otomatik olarak Google Sheets'e kaydedilmiş, ardından Excel formatında (.xlsx) dışa aktarılmıştır. E-posta adresleri ile katılımcı kimliği korunmaktadır.</t>
  </si>
  <si>
    <t>Google Sheets, Excel (.xlsx)</t>
  </si>
  <si>
    <t>#3 – Sosyal Hizmet</t>
  </si>
  <si>
    <t>24 / Kadın</t>
  </si>
  <si>
    <t>9.000 / 7.000</t>
  </si>
  <si>
    <t>Evet / Evet / Evet</t>
  </si>
  <si>
    <t>1+1+5+1 = 8  → DÜŞÜK</t>
  </si>
  <si>
    <t>3. Temizleme</t>
  </si>
  <si>
    <t>Eksik, hatalı ve tutarsız verilerin düzenlenmesi</t>
  </si>
  <si>
    <t>Sosya hizmet' → 'Sosyal Hizmet' yazım hatası düzeltilmiştir. Gelir/harcama kategorileri sayısal orta noktalarla kodlanmıştır (0–2000 TL → 1000 TL). Zaman damgası ve e-posta sütunları analiz dışı bırakılmıştır.</t>
  </si>
  <si>
    <t>Excel, Manuel Doğrulama, SPSS</t>
  </si>
  <si>
    <t>#4 – Ameliyathane</t>
  </si>
  <si>
    <t>19 / Kadın</t>
  </si>
  <si>
    <t>3.000 / 1.000</t>
  </si>
  <si>
    <t>Evet / Bazen / Evet</t>
  </si>
  <si>
    <t>1+1+2+2 = 6  → DÜŞÜK</t>
  </si>
  <si>
    <t>4. İşleme</t>
  </si>
  <si>
    <t>Verinin analiz için dönüştürülmesi ve hazırlanması</t>
  </si>
  <si>
    <t>Kategorik değişkenler (cinsiyet, bölüm, harcama alanı) kodlanmıştır. Gelir ve harcama aralıkları sayısal orta değerlere dönüştürülmüştür. Stres soruları (Q11–Q14) toplanarak 'Finansal Stres İndeksi' oluşturulmuştur.</t>
  </si>
  <si>
    <t>Excel Formülleri, Kodlama Şeması</t>
  </si>
  <si>
    <t>#5 – İş Sağlığı</t>
  </si>
  <si>
    <t>Bazen / Bazen / Evet</t>
  </si>
  <si>
    <t>3+3+4+3 = 13 → ORTA</t>
  </si>
  <si>
    <t>5. Analiz</t>
  </si>
  <si>
    <t>İstatistiksel yöntemlerle örüntü çıkarma</t>
  </si>
  <si>
    <t>Betimsel istatistikler (ortalama, standart sapma, frekans); Korelasyon analizi (gelir–stres, tasarruf–harcama); Regresyon analizi (stres üzerindeki belirleyiciler) uygulanmaktadır.</t>
  </si>
  <si>
    <t>Excel Pivot, SPSS Korelasyon &amp; Regresyon</t>
  </si>
  <si>
    <t>#6 – Mekatronik</t>
  </si>
  <si>
    <t>20 / Erkek</t>
  </si>
  <si>
    <t>9.000 / 5.000</t>
  </si>
  <si>
    <t>2+2+1+4 = 9  → ORTA</t>
  </si>
  <si>
    <t>6. Görselleştirme</t>
  </si>
  <si>
    <t>Bulguların grafik ve tablolarla sunulması</t>
  </si>
  <si>
    <t>Harcama kategorileri pasta grafik, gelir–harcama dağılımı sütun grafik, stres indeksi çizgi grafik olarak görselleştirilmiştir. Organizasyonel düzey raporları hazırlanmaktadır.</t>
  </si>
  <si>
    <t>Excel Grafikler, Pivot Tablolar</t>
  </si>
  <si>
    <t>#7 – Hukuk</t>
  </si>
  <si>
    <t>19 / Erkek</t>
  </si>
  <si>
    <t>9.000 / 9.000</t>
  </si>
  <si>
    <t>Bazen / Bazen / Bazen</t>
  </si>
  <si>
    <t>3+2+4+4 = 13 → ORTA</t>
  </si>
  <si>
    <t>7. Paylaşım</t>
  </si>
  <si>
    <t>Bulguların paydaşlarla paylaşılması</t>
  </si>
  <si>
    <t>Katılımcılara e-posta yoluyla kişiselleştirilmiş finansal değerlendirme raporu gönderilecektir. TÜBİTAK'a proje çıktısı olarak sunulacaktır.</t>
  </si>
  <si>
    <t>E-posta Sistemi, PDF Rapor</t>
  </si>
  <si>
    <t>#8 – İktisat</t>
  </si>
  <si>
    <t>25 / Erkek</t>
  </si>
  <si>
    <t>7.000 / 7.000</t>
  </si>
  <si>
    <t>8. Arşivleme &amp; İmha</t>
  </si>
  <si>
    <t>Verinin saklanması veya güvenli imhası</t>
  </si>
  <si>
    <t>KVKK uyumlu olarak kişisel veriler (e-posta) proje tamamlandıktan sonra anonimleştirilecek veya imha edilecektir. Analiz verileri araştırma arşivinde saklanacaktır.</t>
  </si>
  <si>
    <t>KVKK, Veri Anonimleştirme, Güvenli Silme</t>
  </si>
  <si>
    <t>#9 – Beslenme</t>
  </si>
  <si>
    <t>Evet / Bazen / Bazen</t>
  </si>
  <si>
    <t>5+3+4+5 = 17 → YÜKSEK</t>
  </si>
  <si>
    <t>3️⃣  ORGANİZASYONEL DÜZEYLER  (Operasyonel → Taktik → Stratejik)</t>
  </si>
  <si>
    <t>📊  B. BETİMSEL İSTATİSTİKLER</t>
  </si>
  <si>
    <t>DÜZEY</t>
  </si>
  <si>
    <t>TANIM</t>
  </si>
  <si>
    <t>PROJEDEKİ ROL &amp; KARARLAR</t>
  </si>
  <si>
    <t>BİLGİ SİSTEMİ DESTEĞİ</t>
  </si>
  <si>
    <t>SAYISAL DEĞİŞKENLER — Merkezi Eğilim &amp; Yayılım</t>
  </si>
  <si>
    <t>STRATEJİK DÜZEY
(Üst Yönetim)</t>
  </si>
  <si>
    <t>Uzun vadeli vizyon, politika belirleme. Belirsizlik yüksek, yapılandırılmamış kararlar.</t>
  </si>
  <si>
    <t>TÜBİTAK değerlendiricileri ve üniversite yöneticileri bu düzeyde yer alır. Proje bulguları; finansal okuryazarlık politikaları, burs/destek programları ve üniversite geneli ekonomik danışmanlık hizmetlerinin tasarımına yönelik stratejik kararları bilgilendirir.</t>
  </si>
  <si>
    <t>Yönetim Bilgi Sistemi (MIS), Karar Destek Sistemi (DSS), Üst Yönetim Bilgi Sistemi (ESS)</t>
  </si>
  <si>
    <t>DEĞİŞKEN</t>
  </si>
  <si>
    <t>ORTALAMA</t>
  </si>
  <si>
    <t>MEDYAN</t>
  </si>
  <si>
    <t>MIN</t>
  </si>
  <si>
    <t>MAX</t>
  </si>
  <si>
    <t>TAKTİK DÜZEY
(Orta Yönetim)</t>
  </si>
  <si>
    <t>Stratejik hedefleri operasyonel faaliyetlere dönüştürme, kısa-orta vadeli planlama.</t>
  </si>
  <si>
    <t>Ekip üyeleri ve danışman öğretim üyesi bu düzeyde konumlanır. Hangi analizlerin yapılacağı, hangi öğrenci gruplarının odaklanılacağı, geri bildirim mekanizmasının nasıl tasarlanacağına ilişkin taktik kararlar alınır..</t>
  </si>
  <si>
    <t>MIS, Raporlama Araçları, Excel Pivot Analiz</t>
  </si>
  <si>
    <t>Aylık Gelir (TL)</t>
  </si>
  <si>
    <t>9000  |  ss=3480.1
Geniş yayılım (1000–9000 TL). Öğrenciler arasında büyük gelir eşitsizliği mevcut.</t>
  </si>
  <si>
    <t>OPERASYONEL DÜZEY
(Saha)</t>
  </si>
  <si>
    <t>Günlük rutin işlemler, yapılandırılmış görevler. Veri doğruluk ve hız kritik.</t>
  </si>
  <si>
    <t>Form yanıtlarının toplanması, Excel'e aktarılması, hatalı/eksik verilerin temizlenmesi, kodlama şemasının uygulanması ve veri setinin güncellenmesi bu düzeyde gerçekleşir. Katılımcı öğrenciler de operasyonel düzeyde etkileşim kurar.</t>
  </si>
  <si>
    <t>İşlem İşleme Sistemi (TPS), Google Forms, Excel Veri Temizleme, SPSS Veri Editörü</t>
  </si>
  <si>
    <t>Aylık Harcama (TL)</t>
  </si>
  <si>
    <t>9000  |  ss=3316.6
Gelire paralel bir yayılım. Ortalama harcama geliri yakın takip ediyor.</t>
  </si>
  <si>
    <t>Yaş</t>
  </si>
  <si>
    <t>25  |  ss=2.2
Ağırlıklı olarak 19–24 yaş arası genç katılımcılar. Homojen örneklem.</t>
  </si>
  <si>
    <t>4️⃣  SİSTEM YAKLAŞIMI</t>
  </si>
  <si>
    <t>17  |  ss=3.6
Ort=12 → Orta-Yüksek risk eşiği. Std=3.6 → Heterojen grup.</t>
  </si>
  <si>
    <t>✅  KULLANILAN YAKLAŞIM: SİBERNETİK SİSTEM YAKLAŞIMI  (Geri Bildirim Döngülü Kontrol Sistemi)</t>
  </si>
  <si>
    <t>GİRDİ (Input)</t>
  </si>
  <si>
    <t>Ham anket verileri; öğrenci demografisi, gelir-gider aralıkları, tasarruf durumu, 4 soruluk finansal stres ölçeği (Likert 1–5)</t>
  </si>
  <si>
    <t>KATEGORİK DEĞİŞKENLER — Frekans &amp; Yüzde Dağılımı</t>
  </si>
  <si>
    <t>İŞLEM (Process)</t>
  </si>
  <si>
    <t>Excel &amp; SPSS'te veri temizleme, kodlama, betimsel istatistik, korelasyon ve regresyon analizi; harcama kategorilerinin görselleştirilmesi</t>
  </si>
  <si>
    <t>EVET (n / %)</t>
  </si>
  <si>
    <t>BAZEN (n / %)</t>
  </si>
  <si>
    <t>HAYIR (n / %)</t>
  </si>
  <si>
    <t>YORUM</t>
  </si>
  <si>
    <t>ÇIKTI (Output)</t>
  </si>
  <si>
    <t>Finansal stres indeksi, harcama profilleri, korelasyon/regresyon bulguları, kişiselleştirilmiş e-posta geri bildirimleri, TÜBİTAK raporu</t>
  </si>
  <si>
    <t>Harcama Takibi</t>
  </si>
  <si>
    <t>5 / %55.6</t>
  </si>
  <si>
    <t>2 / %22.2</t>
  </si>
  <si>
    <t>Çoğunluk takip ediyor; 2 kişi hiç takip etmiyor → potansiyel risk grubu</t>
  </si>
  <si>
    <t>GERİ BİLDİRİM (Feedback)</t>
  </si>
  <si>
    <t>Katılımcılara gönderilen kişiselleştirilmiş değerlendirme, öğrenci davranış değişikliklerinin izlenmesi ve modelin güncellenmesi</t>
  </si>
  <si>
    <t>Bütçe Planı</t>
  </si>
  <si>
    <t>4 / %44.4</t>
  </si>
  <si>
    <t>3 / %33.3</t>
  </si>
  <si>
    <t>Katılımcıların yalnızca %44'ü bütçe planlıyor. Hipotezi destekler.</t>
  </si>
  <si>
    <t>NEDEN SİBERNETİK?</t>
  </si>
  <si>
    <t>Proje yalnızca veri toplamakla kalmaz; geri bildirim mekanizmasıyla (e-posta sistemi) çıktıları tekrar sisteme besler. Öğrenciler davranışlarını değiştirdikçe sistem öğrenir ve önerilerini günceller. Bu döngüsel yapı, klasik sistem yaklaşımını değil; kontrol ve öz-düzenleme mekanizması içeren SİBERNETİK sistem yaklaşımını karakterize eder.</t>
  </si>
  <si>
    <t>Tasarruf</t>
  </si>
  <si>
    <t>1 / %11.1</t>
  </si>
  <si>
    <t>Tasarruf oranı görece yüksek; 'Bazen' grubu değişken davranış gösteriyor.</t>
  </si>
  <si>
    <t>Fin. Stres (S10)</t>
  </si>
  <si>
    <t>Sık sık: 4/%44.4</t>
  </si>
  <si>
    <t>Bazen: 2/%22.2</t>
  </si>
  <si>
    <t>Nadiren: 3/%33.3</t>
  </si>
  <si>
    <t>Katılımcıların %44'ü sık sık finansal stres yaşıyor. KRİTİK BULGU!</t>
  </si>
  <si>
    <t>5️⃣  SİSTEMİN TÜRÜ: AÇIK MI KAPALI MI?</t>
  </si>
  <si>
    <t>✅  AÇIK SİSTEM (Open System) — Çevresiyle sürekli etkileşim halinde, dışa açık bir sistem</t>
  </si>
  <si>
    <t>📈  C. VERİ GRAFİKLERİ</t>
  </si>
  <si>
    <t>Dış Çevre Etkileşimi</t>
  </si>
  <si>
    <t>Proje; öğrencilerden (dış aktörler), üniversite ortamından ve sosyo-ekonomik koşullardan sürekli veri alır. Sistem sınırları kesin değildir; katılımcı sayısı, form soruları ve analiz kapsamı zaman içinde genişleyebilir.Katılımcı sayısı, form soruları ve analiz kapsamı zaman içinde genişleyebilir.</t>
  </si>
  <si>
    <t>C1 – Harcama Kalemi Dağılımı (Pasta Grafik)</t>
  </si>
  <si>
    <t>Girdi-Çıktı Akışı</t>
  </si>
  <si>
    <t>Google Forms aracılığıyla dış dünyadan veri girer; analizler ve geri bildirimler dış dünyaya (katılımcılara, TÜBİTAK'a, üniversiteye) çıktı olarak sunulur.</t>
  </si>
  <si>
    <t>Kategori</t>
  </si>
  <si>
    <t>Kişi Sayısı</t>
  </si>
  <si>
    <t>Adaptasyon</t>
  </si>
  <si>
    <t>Sistem, geri bildirim döngüleri sayesinde çevresine uyum sağlar. Öğrencilerin finansal davranışları değiştikçe model güncellenir; yeni veri dalgaları sistemi besler.</t>
  </si>
  <si>
    <t>Neden Kapalı Değil?</t>
  </si>
  <si>
    <t>Kapalı sistemler dış çevreyle etkileşime girmez ve sabit kalır. Bu proje ise öğrenci katılımına, e-posta geri bildirim döngüsüne ve TÜBİTAK paydaşlarına bağımlıdır. Dolayısıyla AÇIK SİSTEM tanımına tam uyar.</t>
  </si>
  <si>
    <t>6️⃣  SİSTEMİN TÜRLERİ  (Karmaşıklık · İşleyiş · Değişkenlik · Alt Sistemler · İnsan Katılımı)</t>
  </si>
  <si>
    <t>SINIFLANDIRMA KRİTERİ</t>
  </si>
  <si>
    <t>SİSTEM TÜRÜ</t>
  </si>
  <si>
    <t>GEREKÇE</t>
  </si>
  <si>
    <t>ÖRNEK</t>
  </si>
  <si>
    <t>C2 – Gelir &amp; Harcama Aralığı Karşılaştırması (Sütun Grafik)</t>
  </si>
  <si>
    <t>Karmaşıklık Düzeyine Göre</t>
  </si>
  <si>
    <t>KARMAŞIK SİSTEM</t>
  </si>
  <si>
    <t>Çok sayıda birbiriyle etkileşen değişken (gelir, stres, bütçe, tasarruf). Doğrusal olmayan ilişkiler regresyon analizi gerektirir.</t>
  </si>
  <si>
    <t>n değişkenden oluşan korelasyon matrisi; stres indeksini birden fazla faktör açıklıyor</t>
  </si>
  <si>
    <t>Aralık</t>
  </si>
  <si>
    <t>Gelir (Kişi)</t>
  </si>
  <si>
    <t>Harcama (Kişi)</t>
  </si>
  <si>
    <t>İşleyiş Tarzına Göre</t>
  </si>
  <si>
    <t>OLASALIKSAL SİSTEM</t>
  </si>
  <si>
    <t>Öğrencilerin davranışları kesin kurallara bağlı değil; olasılıksal dağılımlar gösteriyor.</t>
  </si>
  <si>
    <t>Aynı gelir düzeyinde 2 öğrenci farklı stres yaşayabiliyor (R²&lt;1)</t>
  </si>
  <si>
    <t>0-2000 TL</t>
  </si>
  <si>
    <t>Değişkenliğe Göre</t>
  </si>
  <si>
    <t>DİNAMİK SİSTEM</t>
  </si>
  <si>
    <t>Form yanıtları birikir, analizler güncellenir, geri bildirimler öğrenci davranışını dönüştürür.</t>
  </si>
  <si>
    <t>Mart 2026 verisinden Temmuz 2026 raporuna kadar sürekli değişen sistem</t>
  </si>
  <si>
    <t>2000-4000 TL</t>
  </si>
  <si>
    <t>Alt Sistemlere Göre</t>
  </si>
  <si>
    <t>HİYERARŞİK SİSTEM</t>
  </si>
  <si>
    <t>4 alt sistem: Veri Toplama (Forms), Veri İşleme (Excel), Analiz (SPSS), Geri Bildirim (E-posta).</t>
  </si>
  <si>
    <t>Her alt sistem bağımsız çalışır ama birbirine bağlıdır</t>
  </si>
  <si>
    <t>4000-6000 TL</t>
  </si>
  <si>
    <t>İnsan Katılımına Göre</t>
  </si>
  <si>
    <t>İNSAN-MAKİNE SİSTEMİ</t>
  </si>
  <si>
    <t>Öğrenciler + araştırmacı (insan) ile Google Forms + Excel + SPSS (makine) birleşimi.</t>
  </si>
  <si>
    <t>Veri girişi &amp; yorum: insan; hesaplama &amp; saklama: makine</t>
  </si>
  <si>
    <t>6000-8000 TL</t>
  </si>
  <si>
    <t>8000+ TL</t>
  </si>
  <si>
    <t>7️⃣  HANGİ BİLGİ SİSTEMİNE YAKIN?  (İşlevsel · Organizasyonel · Kurumsal · Modern)</t>
  </si>
  <si>
    <t>SINIFLANDIRMA</t>
  </si>
  <si>
    <t>EN YAKIN SİSTEM</t>
  </si>
  <si>
    <t>ÇAKIŞAN ÖZELLİK</t>
  </si>
  <si>
    <t>C3 – Finansal Stres İndeksi (Çizgi Grafik)</t>
  </si>
  <si>
    <t>İşlevsel Alana Göre</t>
  </si>
  <si>
    <t>FAIS
(Finansal ve Muhasebe Bilgi Sistemi)</t>
  </si>
  <si>
    <t>Proje; gelir, harcama, tasarruf ve finansal stres verilerini toplar, işler ve raporlar. FAIS tam olarak finansal verilerin yönetimini, analizini ve raporlanmasını kapsayan sistemdir.</t>
  </si>
  <si>
    <t>Finansal veri toplama, bütçe analizi, gelir-gider raporlama</t>
  </si>
  <si>
    <t>Katılımcı</t>
  </si>
  <si>
    <t>Ortalama (12)</t>
  </si>
  <si>
    <t>Organizasyonel Düzeylere Göre</t>
  </si>
  <si>
    <t>DSS
(Karar Destek Sistemi)</t>
  </si>
  <si>
    <t>Korelasyon ve regresyon analizleriyle "Hangi faktörler finansal stresi belirliyor?" sorusuna yanıt üretilir. Bu yapılandırılmamış/yarı yapılandırılmış karar desteği DSS'nin temel işlevidir.</t>
  </si>
  <si>
    <t>Yarı yapılandırılmış karar desteği, istatistik tabanlı analiz çıktıları</t>
  </si>
  <si>
    <t>#1</t>
  </si>
  <si>
    <t>Kurumsal Düzeylere Göre</t>
  </si>
  <si>
    <t>EAS
(Kurumsal Uygulama Sistemi)</t>
  </si>
  <si>
    <t>Google Forms → Excel → SPSS → E-posta zinciriyle bütünleşik bir uygulama altyapısı kurulmuştur. ERP veya SCM değil; tüm proje süreçlerini kapsayan EAS yapısına uymaktadır.</t>
  </si>
  <si>
    <t>Bütünleşik süreç yönetimi, kurumsal veri akışı, çok modüllü yapı</t>
  </si>
  <si>
    <t>#2</t>
  </si>
  <si>
    <t>Modern Düzeylere Göre</t>
  </si>
  <si>
    <t>BIS
(İş Zekası Sistemi)</t>
  </si>
  <si>
    <t>Ham veri → temizleme → istatistiksel analiz → görselleştirme → karar desteği zinciri BIS'in tanımıdır. OAS (ofis otomasyonu) veya CS (iletişim) değil; veriden anlamlı iş bilgisi üretmek BIS'e aittir.</t>
  </si>
  <si>
    <t>Veri keşfi, görselleştirme, tahminleme, kişiselleştirilmiş öneri üretimi</t>
  </si>
  <si>
    <t>#3</t>
  </si>
  <si>
    <t>#4</t>
  </si>
  <si>
    <t>8️⃣  KARAR TİPLERİ  (Yapılandırılmış · Yarı Yapılandırılmış · Yapılandırılmamış)</t>
  </si>
  <si>
    <t>#5</t>
  </si>
  <si>
    <t>✅  YARI YAPILANDIRILMIŞ KARAR (Semi-Structured) — Hem kural tabanlı hem insan yargısına dayalı karma yapı</t>
  </si>
  <si>
    <t>#6</t>
  </si>
  <si>
    <t>YAPILANDIRILMIŞ UNSURLAR</t>
  </si>
  <si>
    <t>Veri toplama süreci standart formdur. Excel formülleri ve SPSS istatistikleri (betimsel istatistik, korelasyon, regresyon) belirli kurallara göre otomatik hesaplanır. Hangi değişkenlerin kullanılacağı önceden tanımlanmıştır.</t>
  </si>
  <si>
    <t>#7</t>
  </si>
  <si>
    <t>YAPILANDIRILMAMIŞ UNSURLAR</t>
  </si>
  <si>
    <t>Analiz sonuçlarının yorumlanması, hangi öğrenci profillerinin 'riskli' sayılacağı, kişiselleştirilmiş önerilerin içeriği ve TÜBİTAK'a sunulacak politika önerilerinin belirlenmesi araştırmacının yargısına ve deneyimine bağlıdır.</t>
  </si>
  <si>
    <t>#8</t>
  </si>
  <si>
    <t>NEDEN YARI YAPILANDIRILMIŞ?</t>
  </si>
  <si>
    <t>Proje; 'Anket formunu doldur ve istatistik hesapla' gibi tamamen algoritmik (yapılandırılmış) olmadığı gibi, 'Öğrencilerin finansal refahını nasıl artırırsın?' gibi tamamen sezgiye dayalı (yapılandırılmamış) da değildir. Her iki unsurun bir arada bulunması, projeyi YARI YAPILANDIRILMIŞ karar kategorisine yerleştirir.</t>
  </si>
  <si>
    <t>#9</t>
  </si>
  <si>
    <t>DESTEKLEYEN SİSTEM</t>
  </si>
  <si>
    <t>Yarı yapılandırılmış kararları desteklemek için en uygun sistem KARAR DESTEK SİSTEMİ'dir (DSS). Proje, araştırmacıya ham verilerden anlamlı bulgulara ulaşmasında rehberlik eden, ancak nihai yorumu insan kararına bırakan bir DSS işlevi görür.</t>
  </si>
  <si>
    <t>C4 – Gelir – Stres İlişkisi (Dağılım Grafiği)</t>
  </si>
  <si>
    <t>Gelir (TL)</t>
  </si>
  <si>
    <t>🔗  D. KORELASYON ANALİZİ — DEĞİŞKENLER ARASI İLİŞKİLER</t>
  </si>
  <si>
    <t>Pearson r: -1 ≤ r ≤ +1  |  |r| ≥ 0.7 → Güçlü  |  0.4 ≤ |r| &lt; 0.7 → Orta  |  |r| &lt; 0.4 → Zayıf  |  Anlamlılık düzeyi: α = 0.05</t>
  </si>
  <si>
    <t>İLİŞKİ (X → Y)</t>
  </si>
  <si>
    <t>r DEĞERİ</t>
  </si>
  <si>
    <t>YÖN &amp; GÜÇ</t>
  </si>
  <si>
    <t>Gelir → Stres İndeksi</t>
  </si>
  <si>
    <t>↓ Negatif
ZAYIF</t>
  </si>
  <si>
    <t>Gelir artışı stres ile negatif/pozitif ilişkili. n=9 küçük örneklem; SPSS ile p-değeri doğrulanmalı.</t>
  </si>
  <si>
    <t>Harcama → Stres İndeksi</t>
  </si>
  <si>
    <t>↑ Pozitif
ZAYIF</t>
  </si>
  <si>
    <t>Yüksek harcama daha yüksek stresle ilişkili mi? Sonuç yönünü ve büyüklüğünü incele.</t>
  </si>
  <si>
    <t>Bütçe Planı → Stres İndeksi</t>
  </si>
  <si>
    <t>↓ Negatif
ORTA</t>
  </si>
  <si>
    <t>Bütçe planı yapanlar daha az stres yaşıyor mu? Ana hipotezin test edildiği ilişki.</t>
  </si>
  <si>
    <t>Tasarruf → Stres İndeksi</t>
  </si>
  <si>
    <t>Düzenli tasarruf alışkanlığı finansal stresi azaltıyor mu?</t>
  </si>
  <si>
    <t>Harcama Takibi → Stres İndeksi</t>
  </si>
  <si>
    <t>Harcama takibi mali kontrol hissi yaratarak stresi azaltıyor mu?</t>
  </si>
  <si>
    <t>Gelir → Harcama</t>
  </si>
  <si>
    <t>↑ Pozitif
GÜÇLÜ</t>
  </si>
  <si>
    <t>Gelir arttıkça harcama da artıyor mu? Lüks tüketim örüntüsü var mı?</t>
  </si>
  <si>
    <t>📉  E. REGRESYON ANALİZİ — FİNANSAL STRESİN BELİRLEYİCİLERİ</t>
  </si>
  <si>
    <t>Model: Stres İndeksi (Y) = β₀ + β₁×X + ε  |  Amaç: Hangi faktörler finansal stresi istatistiksel olarak belirliyor?</t>
  </si>
  <si>
    <t>BAĞIMSIZ DEĞİŞKEN (X)</t>
  </si>
  <si>
    <t>β₀ (Sabit)</t>
  </si>
  <si>
    <t>β₁ (Eğim)</t>
  </si>
  <si>
    <t>R² (Açıklama Gücü)</t>
  </si>
  <si>
    <t>DENKLEM &amp; YORUM</t>
  </si>
  <si>
    <t>Stres = 12.61 + (-0.000103) × Gelir (TL)
R²=0.01 → Bu değişken stres varyansının %1.0"ini açıklıyor.
β₁=-0.000103: Gelir (TL) 1 birim arttıkça stres -0.0 azalıyor ↓</t>
  </si>
  <si>
    <t>Stres = 15.0 + (-4.5) × Bütçe Planı
R²=0.191 → Bu değişken stres varyansının %19.1"ini açıklıyor.
β₁=-4.5: Bütçe Planı 1 birim arttıkça stres -4.5 azalıyor ↓</t>
  </si>
  <si>
    <t>Stres = 17.6 + (-7.2) × Tasarruf
R²=0.272 → Bu değişken stres varyansının %27.2"ini açıklıyor.
β₁=-7.2: Tasarruf 1 birim arttıkça stres -7.2 azalıyor ↓</t>
  </si>
  <si>
    <t>Stres = 15.68 + (-4.736842) × Harcama Takibi
R²=0.223 → Bu değişken stres varyansının %22.3"ini açıklıyor.
β₁=-4.736842: Harcama Takibi 1 birim arttıkça stres -4.74 azalıyor ↓</t>
  </si>
  <si>
    <t>Harcama (TL)</t>
  </si>
  <si>
    <t>Stres = 10.75 + (0.00025) × Harcama (TL)
R²=0.052 → Bu değişken stres varyansının %5.2"ini açıklıyor.
β₁=+0.00025: Harcama (TL) 1 birim arttıkça stres 0.0 artıyor ↑</t>
  </si>
  <si>
    <t>📌 GENEL BULGULAR &amp; HİPOTEZ SONUÇLARI</t>
  </si>
  <si>
    <t>⚠️  ÖRNEKLEM UYARISI: n=9 ile hesaplanan değerler KEŞIFSEL NİTELİKTEDİR. İstatistiksel anlamlılık için n≥30 ve SPSS'te p&lt;0.05 kriteri gereklidir.
📌 BULGU 1 – Gelir &amp; Stres: Gelir düzeyi ile stres arasında ilişki tespit edilmiştir. Yön ve büyüklük yukarıdaki tabloda görülebilir.
📌 BULGU 2 – Bütçe &amp; Stres: Bütçe planlaması ile finansal stres arasındaki ilişki ana hipotezi test etmektedir. Bulgular yukarıda yorumlanmıştır.
📌 SONRAKİ ADIM: Örneklem n≥30'a genişletildiğinde SPSS'te çoklu regresyon ve anlamlılık testleri (t-testi, F-testi) uygulanacaktır.</t>
  </si>
  <si>
    <t>SORU</t>
  </si>
  <si>
    <t>BİLEŞEN</t>
  </si>
  <si>
    <t>KAVRAMSAL MODELLEME – Ham Anket Verisi  |  TÜBİTAK 2209 Öğrenci Finansal Durum Projesi</t>
  </si>
  <si>
    <t>Kavramsal Modelleme: Sistem bileşenleri → AKTÖRLER: Öğrenciler  |  ROLLER: Gelir sahibi / Harcama yapan / Tasarruf eden  |  ETKİNLİKLER: Bütçe planlama, harcama takibi  |  ÜRÜN: Finansal davranış profili  |  OLAY: Beklenmedik gider</t>
  </si>
  <si>
    <t>#</t>
  </si>
  <si>
    <t>Cinsiyet</t>
  </si>
  <si>
    <t>Bölüm</t>
  </si>
  <si>
    <t>Aylık Gelir</t>
  </si>
  <si>
    <t>Aylık Harcama</t>
  </si>
  <si>
    <t>En Çok Harcama</t>
  </si>
  <si>
    <t>Fin. Stres</t>
  </si>
  <si>
    <t>S11
Ay Sonu</t>
  </si>
  <si>
    <t>S12
Kontrol</t>
  </si>
  <si>
    <t>S13
Bek. Gider</t>
  </si>
  <si>
    <t>S14
Stres Hissi</t>
  </si>
  <si>
    <t>Bilişim Sistemleri ve Teknolojileri</t>
  </si>
  <si>
    <t>4000–6000 TL</t>
  </si>
  <si>
    <t>Evet, düzenli</t>
  </si>
  <si>
    <t>Tıbbi Görüntüleme Teknikleri</t>
  </si>
  <si>
    <t>0–2000 TL</t>
  </si>
  <si>
    <t>Sosyal Hizmet</t>
  </si>
  <si>
    <t>6000–8000 TL</t>
  </si>
  <si>
    <t>Ameliyathane Hizmetleri</t>
  </si>
  <si>
    <t>2000–4000 TL</t>
  </si>
  <si>
    <t>İş Sağlığı ve Güvenliği</t>
  </si>
  <si>
    <t>Mekatronik Mühendisliği</t>
  </si>
  <si>
    <t>Hukuk</t>
  </si>
  <si>
    <t>Beslenme ve Diyetetik</t>
  </si>
  <si>
    <t>Likert Ölçeği Renk Kodu:   🟢 1-2 = Düşük Stres/Zorluk     🟡 3 = Orta     🔴 4-5 = Yüksek Stres/Zorluk</t>
  </si>
  <si>
    <t>MATEMATİKSEL MODELLEME – Finansal Stres Skoru, Bütçe Sapması &amp; İstatistiksel Analiz</t>
  </si>
  <si>
    <t>Bileşenler: DEĞİŞKENLER (gelir, harcama, stres skoru)  |  PARAMETRELER (gelir aralığı orta değerleri, ağırlıklar)  |  DENKLEM: Finansal Stres İndeksi = Σ(Likert puanları)/16  |  ÇIKTI: Her öğrenci için FSİ skoru [0–1] ve Risk Seviyesi</t>
  </si>
  <si>
    <t>BÖLÜM A – Bireysel Finansal Stres İndeksi (FSİ) Hesaplaması</t>
  </si>
  <si>
    <t>Öğrenci</t>
  </si>
  <si>
    <t>Bütçe Farkı (TL)</t>
  </si>
  <si>
    <t>Bütçe Açık?</t>
  </si>
  <si>
    <t>S11</t>
  </si>
  <si>
    <t>S12</t>
  </si>
  <si>
    <t>S13</t>
  </si>
  <si>
    <t>S14</t>
  </si>
  <si>
    <t>FSİ Skoru
(0–1)</t>
  </si>
  <si>
    <t>Risk Seviyesi</t>
  </si>
  <si>
    <t>Öğrenci 1</t>
  </si>
  <si>
    <t>FAZLA</t>
  </si>
  <si>
    <t>Yüksek Risk</t>
  </si>
  <si>
    <t>Öğrenci 2</t>
  </si>
  <si>
    <t>Öğrenci 3</t>
  </si>
  <si>
    <t>Orta Risk</t>
  </si>
  <si>
    <t>Öğrenci 4</t>
  </si>
  <si>
    <t>Düşük Risk</t>
  </si>
  <si>
    <t>Öğrenci 5</t>
  </si>
  <si>
    <t>Öğrenci 6</t>
  </si>
  <si>
    <t>Öğrenci 7</t>
  </si>
  <si>
    <t>Öğrenci 8</t>
  </si>
  <si>
    <t>Öğrenci 9</t>
  </si>
  <si>
    <t>ORTALAMA / TOPLAM</t>
  </si>
  <si>
    <t>BÖLÜM B – Matematiksel Parametreler &amp; Denklemler</t>
  </si>
  <si>
    <t>Parametre</t>
  </si>
  <si>
    <t>Ortalama Gelir (TL)</t>
  </si>
  <si>
    <t>Örneklem gelir ortalaması</t>
  </si>
  <si>
    <t>Ortalama Harcama (TL)</t>
  </si>
  <si>
    <t>Örneklem harcama ortalaması</t>
  </si>
  <si>
    <t>Tasarruf Oranı (%)</t>
  </si>
  <si>
    <t>(Gelir-Harcama)/Gelir</t>
  </si>
  <si>
    <t>Ort. FSİ Skoru</t>
  </si>
  <si>
    <t>Finansal Stres İndeksi ortalaması</t>
  </si>
  <si>
    <t>Std. Sapma (FSİ)</t>
  </si>
  <si>
    <t>FSİ standart sapması</t>
  </si>
  <si>
    <t>Yüksek Risk Sayısı</t>
  </si>
  <si>
    <t>FSİ ≥ 0.60 olanlar</t>
  </si>
  <si>
    <t>Orta Risk Sayısı</t>
  </si>
  <si>
    <t>0.40 ≤ FSİ &lt; 0.60</t>
  </si>
  <si>
    <t>Düşük Risk Sayısı</t>
  </si>
  <si>
    <t>FSİ &lt; 0.40</t>
  </si>
  <si>
    <t>ŞEMATİK MODELLEME – Veri Görselleştirme &amp; Dağılım Grafikleri</t>
  </si>
  <si>
    <t>Şematik Modelleme Araçları: GRAFİK (Çubuk, Pasta) – Harcama alanları ve risk dağılımı  |  Verilerin görsel temsili ile karmaşık ilişkiler sadeleştirilir.</t>
  </si>
  <si>
    <t>Grafik 1 – En Çok Harcama Yapılan Alan (Frekans)</t>
  </si>
  <si>
    <t>Grafik 2 – Risk Seviyesi Dağılımı (Pasta)</t>
  </si>
  <si>
    <t>Harcama Alanı</t>
  </si>
  <si>
    <t>Frekans</t>
  </si>
  <si>
    <t>Sayı</t>
  </si>
  <si>
    <t>Grafik 3 – Öğrenci Bazında Gelir vs Harcama (TL Orta Değer)</t>
  </si>
  <si>
    <t>Gelir</t>
  </si>
  <si>
    <t>Harcama</t>
  </si>
  <si>
    <t>Öğr.1</t>
  </si>
  <si>
    <t>Öğr.2</t>
  </si>
  <si>
    <t>Öğr.3</t>
  </si>
  <si>
    <t>Öğr.4</t>
  </si>
  <si>
    <t>Öğr.5</t>
  </si>
  <si>
    <t>Öğr.6</t>
  </si>
  <si>
    <t>Öğr.7</t>
  </si>
  <si>
    <t>Öğr.8</t>
  </si>
  <si>
    <t>Öğr.9</t>
  </si>
  <si>
    <t>SİSTEM GELİŞTİRME MODELİ – ÇEVİK (AGILE) &amp; ŞELALE MODELİ KARŞILAŞTIRMASI</t>
  </si>
  <si>
    <t>Proje önerisi: Öğrenci finansal yönetim sistemi geliştirmek için ÇEVİK MODEL önerilir (değişen gereksinimler, hızlı geri bildirim, sprint bazlı teslimat). Alternatif: Sabit kapsam varsa ŞELALE MODELİ.</t>
  </si>
  <si>
    <t>ÇEVİK MODEL – Sprint Planı: Öğrenci Finansal Takip Sistemi</t>
  </si>
  <si>
    <t>Sprint</t>
  </si>
  <si>
    <t>Süre</t>
  </si>
  <si>
    <t>Hedef / Kullanıcı Hikayesi</t>
  </si>
  <si>
    <t>Öncelik</t>
  </si>
  <si>
    <t>Durum</t>
  </si>
  <si>
    <t>2 hafta</t>
  </si>
  <si>
    <t>Anket verilerinin dijital platforma aktarılması ve veri temizleme</t>
  </si>
  <si>
    <t>Kritik</t>
  </si>
  <si>
    <t>Tamamlandı ✅</t>
  </si>
  <si>
    <t>Finansal Stres İndeksi (FSİ) hesaplama modülü</t>
  </si>
  <si>
    <t>Öğrenci bazlı bütçe farkı ve tasarruf analizi paneli</t>
  </si>
  <si>
    <t>Yüksek</t>
  </si>
  <si>
    <t>Devam Ediyor 🔄</t>
  </si>
  <si>
    <t>Demografik gruplara göre risk segmentasyonu (bölüm, cinsiyet)</t>
  </si>
  <si>
    <t>Planlandı 📋</t>
  </si>
  <si>
    <t>Görsel dashboard ve grafik raporlama</t>
  </si>
  <si>
    <t>Orta</t>
  </si>
  <si>
    <t>Son kullanıcı testi, geri bildirim toplama ve sistem bakımı</t>
  </si>
  <si>
    <t>MODEL KARŞILAŞTIRMASI – Bu Proje için Uygunluk Değerlendirmesi</t>
  </si>
  <si>
    <t>Kriter</t>
  </si>
  <si>
    <t>Şelale Modeli</t>
  </si>
  <si>
    <t>Çevik Model</t>
  </si>
  <si>
    <t>Bu Proje İçin Uygun?</t>
  </si>
  <si>
    <t>Gereksinim Esnekliği</t>
  </si>
  <si>
    <t>Düşük (sabit)</t>
  </si>
  <si>
    <t>Yüksek (değişebilir)</t>
  </si>
  <si>
    <t>✅ Çevik</t>
  </si>
  <si>
    <t>Geri Bildirim Hızı</t>
  </si>
  <si>
    <t>Yavaş (sonda)</t>
  </si>
  <si>
    <t>Hızlı (her sprint)</t>
  </si>
  <si>
    <t>Belgeleme</t>
  </si>
  <si>
    <t>Kapsamlı</t>
  </si>
  <si>
    <t>Hafif</t>
  </si>
  <si>
    <t>Şelale (akademik rapor için)</t>
  </si>
  <si>
    <t>Teslimat Süresi</t>
  </si>
  <si>
    <t>Uzun</t>
  </si>
  <si>
    <t>Kısa iterasyonlar</t>
  </si>
  <si>
    <t>Risk Yönetimi</t>
  </si>
  <si>
    <t>Düşük</t>
  </si>
  <si>
    <t>Spiral (büyük projede)</t>
  </si>
  <si>
    <t>Ekip Boyutu</t>
  </si>
  <si>
    <t>Büyük</t>
  </si>
  <si>
    <t>Küçük/Orta</t>
  </si>
  <si>
    <t>✅ Çevik (küçük TÜBİTAK ekibi)</t>
  </si>
  <si>
    <t>sürekli analiz ve veri toplama kısmı karar destek sistemi</t>
  </si>
  <si>
    <t>📋  HAFTA 5 – YÖNETİM BİLİŞİM SİSTEMLERİ</t>
  </si>
  <si>
    <t>1️⃣  GENEL SİSTEM TEORİSİ – TEMEL SORULAR &amp; YANITLAR</t>
  </si>
  <si>
    <t>YANIT (Proje Özelinde)</t>
  </si>
  <si>
    <t>YBS BAĞLANTISI</t>
  </si>
  <si>
    <t>KURAM / KAYNAK</t>
  </si>
  <si>
    <t>Sistem nedir?</t>
  </si>
  <si>
    <t>Proje; öğrenci finansal verilerini toplayan, analiz eden ve bireysel geri bildirim üreten bütünleşik bir araştırma bilgi sistemidir. Girdi–İşlem–Çıktı–Geri Besleme döngüsüyle çalışır.</t>
  </si>
  <si>
    <t>Sistem = birbiriyle ilişkili bileşenlerden oluşan, ortak amaç doğrultusunda çalışan bütün (von Bertalanffy)</t>
  </si>
  <si>
    <t>Genel Sistem Teorisi – Ludwig von Bertalanffy (1968)</t>
  </si>
  <si>
    <t>Sistemin sınırları nelerdir?</t>
  </si>
  <si>
    <t>Sınır İÇİ: Anket formu, veri seti, Excel/SPSS analizi, e-posta geri bildirimi. Sınır DIŞI: Öğrencilerin kişisel ekonomik koşulları, ulusal enflasyon, banka hizmetleri.</t>
  </si>
  <si>
    <t>Açık sistemlerde sınırlar geçirgendir; dış çevreden girdi alınır ve çıktı üretilir.</t>
  </si>
  <si>
    <t>Sistem Sınırı Teorisi – Churchman (1968)</t>
  </si>
  <si>
    <t>Sistemin amacı (telos) nedir?</t>
  </si>
  <si>
    <t>Birincil Amaç: Üniversite öğrencilerinin finansal davranışlarını bilimsel yöntemlerle analiz etmek. İkincil Amaç: Finansal okuryazarlık farkındalığını artırmak ve davranış değişikliği sağlamak.</t>
  </si>
  <si>
    <t>Teleoloji – sistemlerin amaç yönelimli hareket ettiği ilkesi</t>
  </si>
  <si>
    <t>Teleolojik Sistem Tasarımı – Ackoff (1971)</t>
  </si>
  <si>
    <t>Sistem çevreyle nasıl etkileşir?</t>
  </si>
  <si>
    <t>Çevreden Giriş: Öğrenci katılımı (n=9), sosyo-ekonomik koşullar. Çevreye Çıkış: Kişiselleştirilmiş e-posta raporları, TÜBİTAK proje çıktısı, finansal farkındalık artışı.</t>
  </si>
  <si>
    <t>Açık sistem – çevre ile madde/enerji/bilgi alışverişi yapan sistem</t>
  </si>
  <si>
    <t>Açık Sistem Teorisi – Katz &amp; Kahn (1978)</t>
  </si>
  <si>
    <t>Sistemde entropi var mı?</t>
  </si>
  <si>
    <t>Evet – Veri kalitesi düşebilir (eksik/hatalı yanıtlar). Negatif entropi (negentropi) ise veri temizleme, doğrulama ve sürekli güncelleme süreçleriyle sağlanır.</t>
  </si>
  <si>
    <t>Entropi: sistemlerin düzensizliğe ilerleme eğilimi. Negentropi: bilgi ile düzenin korunması.</t>
  </si>
  <si>
    <t>Entropi Teorisi – Shannon &amp; Weaver (1949)</t>
  </si>
  <si>
    <t>Sistem sinerji üretiyor mu?</t>
  </si>
  <si>
    <t>Evet – Anket + istatistik + geri bildirim döngüsü birleşimi, tek tek bileşenlerin toplamından daha fazla değer üretir (2+2=5 etkisi). Öğrenci farkındalığı sistematik müdahale olmadan oluşamazdı.</t>
  </si>
  <si>
    <t>Sinerji: Bütün, parçaların toplamından büyüktür. Emergent properties.</t>
  </si>
  <si>
    <t>Sinerji – Boulding (1956); Emergent Properties – Holland (1998)</t>
  </si>
  <si>
    <t>2️⃣  SİSTEM YAKLAŞIMI – BÜTÜNCÜl · DİSİPLİNLERARASI · BİLİMSEL</t>
  </si>
  <si>
    <t>Proje, öğrenci finansal davranışını izole değil; gelir, harcama, tasarruf, stres ve bölüm değişkenlerini BİR BÜTÜN olarak ele alır. Hiçbir değişken tek başına anlam taşımaz.</t>
  </si>
  <si>
    <t>DİSİPLİNLERARASI YAKLAŞIM</t>
  </si>
  <si>
    <t>Psikoloji (stres ölçeği) + Sosyoloji (tüketim kalıpları) + İstatistik (korelasyon/regresyon) + Bilişim (Google Forms/Excel/SPSS) + Ekonomi (gelir-gider dengesi) bütünleşik yapı.</t>
  </si>
  <si>
    <t>BİLİMSEL YAKLAŞIM</t>
  </si>
  <si>
    <t>① Problem Tanımı → ② Hipotez → ③ Veri Toplama (n=9) → ④ Analiz (Excel/SPSS) → ⑤ Sonuç → ⑥ Raporlama (TÜBİTAK sunumu)</t>
  </si>
  <si>
    <t>BÜTÜNCÜL YAKLAŞIM</t>
  </si>
  <si>
    <t>3️⃣  SİSTEMİN TEMEL UNSURLARI – GİRDİ · SÜREÇ · ÇIKTI · GERİ BESLEME · ÇEVRE</t>
  </si>
  <si>
    <t>UNSUR</t>
  </si>
  <si>
    <t>PROJEDEKİ KARŞILIĞI</t>
  </si>
  <si>
    <t>Sistemin dışarıdan aldığı ham bilgi</t>
  </si>
  <si>
    <t>9 katılımcının form yanıtları: yaş, cinsiyet, bölüm, gelir aralığı, harcama, tasarruf, 4 stres sorusu</t>
  </si>
  <si>
    <t>#1: Yaş=22, Kadın, BST, Gelir=4000-6000, Yemek, Stres=Sık sık</t>
  </si>
  <si>
    <t>SÜREÇ (Process)</t>
  </si>
  <si>
    <t>Girdilerin çıktıya dönüştürülmesi</t>
  </si>
  <si>
    <t>① Temizleme ② Kodlama ③ Betimsel istatistik ④ Korelasyon ⑤ Regresyon</t>
  </si>
  <si>
    <t>4000-6000 TL → 5000 TL kodlama; Stres=Q11+Q12+Q13+Q14</t>
  </si>
  <si>
    <t>Sistemin ürettiği bilgi ve raporlar</t>
  </si>
  <si>
    <t>Stres indeksi, istatistik tablosu, grafikler, TÜBİTAK raporu, kişisel e-postalar</t>
  </si>
  <si>
    <t>#1'e e-posta: 'Stres=13 (Orta) – acil durum fonu önerilir'</t>
  </si>
  <si>
    <t>GERİ BESLEME (Feedback)</t>
  </si>
  <si>
    <t>Çıktının sistemi güncellemesi</t>
  </si>
  <si>
    <t>Öğrenci tepkileri → ikinci anket dalgası → model güncelleme</t>
  </si>
  <si>
    <t>Öğrenci bütçe takibine başlarsa → 6. ayda yeni form → sistem öğrenir</t>
  </si>
  <si>
    <t>ÇEVRE (Environment)</t>
  </si>
  <si>
    <t>Sistem dışı ama etkili koşullar</t>
  </si>
  <si>
    <t>Türkiye enflasyonu, burs politikaları, TÜBİTAK kriterleri, pandemi sonrası ekonomi</t>
  </si>
  <si>
    <t>2026 enflasyonu öğrenci 'yeterli gelir' algısını değiştirir → yanıtlar etkilenir</t>
  </si>
  <si>
    <t>4️⃣  SİSTEMİN BİLEŞENLERİ – ÖĞE · İLİŞKİ · AMAÇ</t>
  </si>
  <si>
    <t>PROJEDEKİ ÖRNEKLER</t>
  </si>
  <si>
    <t>BAĞLANTI</t>
  </si>
  <si>
    <t>ÖĞE (Element)</t>
  </si>
  <si>
    <t>Sistemi oluşturan temel yapı taşları</t>
  </si>
  <si>
    <t>• 9 katılımcı öğrenci
• 16 sorulu Google Forms
• Excel veri seti (9×16)
• SPSS analiz modülü
• Araştırmacı (Beyza)
• E-posta geri bildirim sistemi</t>
  </si>
  <si>
    <t>Her öğe, sisteme özgü bir işlev üstlenir. Bir öğenin çıkarılması tüm sistemi etkiler.</t>
  </si>
  <si>
    <t>İLİŞKİ (Relationship)</t>
  </si>
  <si>
    <t>Sistem öğeleri arasındaki etkileşimler</t>
  </si>
  <si>
    <t>• Gelir ↔ Harcama (doğrusal)
• Bütçe planı → Tasarruf (+)
• Stres ← Gelir-gider dengesizliği (−)
• Harcama takibi → Düşük stres</t>
  </si>
  <si>
    <t>İlişkiler korelasyon (r) ve regresyon katsayılarıyla ölçülür. r&gt;0.7 güçlü ilişki.</t>
  </si>
  <si>
    <t>AMAÇ (Purpose)</t>
  </si>
  <si>
    <t>Tüm bileşenlerin yöneldiği hedef</t>
  </si>
  <si>
    <t>Kısa Vade: Harcama profili çıkarma
Orta Vade: Stres–davranış ilişkisini kanıtlama
Uzun Vade: Finansal okuryazarlık modeli &amp; TÜBİTAK katkısı</t>
  </si>
  <si>
    <t>Amaç, sistemin tasarımını belirler. Farklı amaç = tamamen farklı değişkenler.</t>
  </si>
  <si>
    <t>5️⃣  SİSTEM GELİŞTİRME YAŞAM DÖNGÜSÜ (SDLC)</t>
  </si>
  <si>
    <t>SDLC AŞAMASI</t>
  </si>
  <si>
    <t>ARAÇ / ÇIKTI</t>
  </si>
  <si>
    <t>1. PLANLAMA</t>
  </si>
  <si>
    <t>Kapsam, fizibilite, zaman planı</t>
  </si>
  <si>
    <t>TÜBİTAK başvurusu, proje amacı, hedef kitle ve analiz yöntemleri belirlendi</t>
  </si>
  <si>
    <t>TÜBİTAK Başvuru Formu, Gantt Şeması</t>
  </si>
  <si>
    <t>2. ANALİZ</t>
  </si>
  <si>
    <t>Gereksinim toplama &amp; sorun tanımlama</t>
  </si>
  <si>
    <t>Hangi değişkenlerin ölçüleceği analiz edildi. Likert ölçeği için literatür taraması yapıldı.</t>
  </si>
  <si>
    <t>Gereksinim Belgesi, Değişken Listesi</t>
  </si>
  <si>
    <t>3. TASARIM</t>
  </si>
  <si>
    <t>Sistemin teknik tasarımı</t>
  </si>
  <si>
    <t>Google Forms 16 soruyla tasarlandı. Veri akışı ve Excel şablonu planlandı.</t>
  </si>
  <si>
    <t>Forms Tasarımı, Veri Akış Diyagramı</t>
  </si>
  <si>
    <t>4. GELİŞTİRME</t>
  </si>
  <si>
    <t>Sistemin inşa edilmesi</t>
  </si>
  <si>
    <t>Forms yayınlandı, n=9 veri toplandı. Excel veri seti ve SPSS dosyaları hazırlandı.</t>
  </si>
  <si>
    <t>Aktif Forms, Ham &amp; Temiz Veri (.xlsx)</t>
  </si>
  <si>
    <t>5. TEST</t>
  </si>
  <si>
    <t>Doğruluk ve hata kontrolü</t>
  </si>
  <si>
    <t>'Sosya hizmet' yazım hatası düzeltildi. Kodlama tutarlılığı kontrol edildi.</t>
  </si>
  <si>
    <t>Hata Günlüğü, Doğrulama Raporu</t>
  </si>
  <si>
    <t>6. UYGULAMA</t>
  </si>
  <si>
    <t>Gerçek ortamda devreye alma</t>
  </si>
  <si>
    <t>Betimsel istatistik, korelasyon ve regresyon analizleri çalıştırıldı. Grafikler oluşturuldu.</t>
  </si>
  <si>
    <t>Excel/SPSS Çıktıları, E-posta Şablonları</t>
  </si>
  <si>
    <t>7. BAKIM</t>
  </si>
  <si>
    <t>İzleme ve güncelleme</t>
  </si>
  <si>
    <t>Yeni anket dalgası (genişletilmiş örneklem) planlandı. TÜBİTAK geri bildirimlerine göre revizyon.</t>
  </si>
  <si>
    <t>Revize Anket, Güncellenmiş Veri Seti</t>
  </si>
  <si>
    <t>8️⃣  KULLANIM SENARYOLARI (USE CASE)</t>
  </si>
  <si>
    <t>USE CASE</t>
  </si>
  <si>
    <t>AKTÖR</t>
  </si>
  <si>
    <t>NORMAL AKIŞ</t>
  </si>
  <si>
    <t>ALT / HATA AKIŞ</t>
  </si>
  <si>
    <t>UC-01
Anketi Doldur</t>
  </si>
  <si>
    <t>1. Forms bağlantısını açar
2. 16 soruyu yanıtlar
3. Gönder → Google Sheets kaydı</t>
  </si>
  <si>
    <t>A1: Zorunlu alan boşsa uyarı
H1: İnternet kesilirse form kaybolur</t>
  </si>
  <si>
    <t>UC-02
Veri Temizle</t>
  </si>
  <si>
    <t>Araştırmacı</t>
  </si>
  <si>
    <t>1. Excel'e dışa aktar
2. Yazım hatalarını düzelt
3. Gelir/harcama kodla
4. Stres indeksi hesapla</t>
  </si>
  <si>
    <t>A1: Eksik veri → ortalama ile doldur
H1: Dosya bozuksa yedekten yükle</t>
  </si>
  <si>
    <t>UC-03
Analiz Yap</t>
  </si>
  <si>
    <t>1. Temiz veriyi SPSS/Excel'de aç
2. Betimsel istatistikler
3. Korelasyon matrisi
4. Regresyon analizi</t>
  </si>
  <si>
    <t>A1: n&lt;30 → non-parametrik test
A2: Normallik yoksa Spearman</t>
  </si>
  <si>
    <t>UC-04
Geri Bildirim Gönder</t>
  </si>
  <si>
    <t>1. Stres profili çıkar
2. E-posta kişiselleştir
3. Öneri ekle
4. Gönder &amp; takip et</t>
  </si>
  <si>
    <t>A1: Hatalı e-posta → alternatif iletişim
H1: Sunucu çökerse kuyruğa al</t>
  </si>
  <si>
    <t>UC-05
Rapor Hazırla</t>
  </si>
  <si>
    <t>Araştırmacı / TÜBİTAK</t>
  </si>
  <si>
    <t>1. Bulguları derle
2. Grafik &amp; tablo
3. Politika önerileri
4. TÜBİTAK formatında sun</t>
  </si>
  <si>
    <t>A1: Bulgular hipotezi desteklemezse alternatif yorum
A2: TÜBİTAK ek analiz isterse genişlet</t>
  </si>
  <si>
    <t>9️⃣  DURUM MAKİNELERİ – SİSTEM DURUMU GEÇİŞLERİ</t>
  </si>
  <si>
    <t>VERİ SETİ DURUM MAKİNESİ – 6 Durum</t>
  </si>
  <si>
    <t>D1
BEKLENİYOR</t>
  </si>
  <si>
    <t>D2
HAM VERİ</t>
  </si>
  <si>
    <t>D3
TEMİZLENİYOR</t>
  </si>
  <si>
    <t>D4
ANALİZ HAZIR</t>
  </si>
  <si>
    <t>D5
ANALİZ EDİLDİ</t>
  </si>
  <si>
    <t>D6
TAMAMLANDI</t>
  </si>
  <si>
    <t>──▶</t>
  </si>
  <si>
    <t>Form yayında,
veri henüz yok</t>
  </si>
  <si>
    <t>Yanıtlar Google
Sheets'e kaydedildi</t>
  </si>
  <si>
    <t>Yazım hataları
gideriliyor</t>
  </si>
  <si>
    <t>Stres indeksi
hesaplandı</t>
  </si>
  <si>
    <t>Korelasyon &amp;
regresyon tamam</t>
  </si>
  <si>
    <t>Geri bildirim
gönderildi ✅</t>
  </si>
  <si>
    <t>Form
Gönderildi</t>
  </si>
  <si>
    <t>Excel'e
Aktarıldı</t>
  </si>
  <si>
    <t>Temizleme
Tamamlandı</t>
  </si>
  <si>
    <t>Analiz
Başlatıldı</t>
  </si>
  <si>
    <t>Rapor
Gönderildi</t>
  </si>
  <si>
    <t>KATILIMCI GERİ BİLDİRİM DURUM MAKİNESİ – 5 Durum</t>
  </si>
  <si>
    <t>K1
KAYITSIZ</t>
  </si>
  <si>
    <t>K2
KATILIMCI</t>
  </si>
  <si>
    <t>K3
ANALİZ
EDİLDİ</t>
  </si>
  <si>
    <t>K4
BİLGİLENDİRİLDİ</t>
  </si>
  <si>
    <t>K5
TAKİP</t>
  </si>
  <si>
    <t>↩ Döngü</t>
  </si>
  <si>
    <t>Henüz
katılmadı</t>
  </si>
  <si>
    <t>Anket
alındı</t>
  </si>
  <si>
    <t>Profil
çıkarıldı</t>
  </si>
  <si>
    <t>E-posta
teslim edildi</t>
  </si>
  <si>
    <t>6. ay
anketi</t>
  </si>
  <si>
    <t>Form
Doldurdu</t>
  </si>
  <si>
    <t>Analiz
Tamamlandı</t>
  </si>
  <si>
    <t>E-posta
Gönderildi</t>
  </si>
  <si>
    <t>Ek
Anket</t>
  </si>
  <si>
    <t>🔟  SİSTEM KULLANICILARI – ROL · SORUMLULUK · YETKİ</t>
  </si>
  <si>
    <t>KULLANICI GRUBU</t>
  </si>
  <si>
    <t>ROL &amp; SORUMLULUKLAR</t>
  </si>
  <si>
    <t>ERİŞİM HAKKI</t>
  </si>
  <si>
    <t>SOMUT ÖRNEKLER</t>
  </si>
  <si>
    <t>SİSTEM ANALİSTLERİ
&amp; GELİŞTİRİCİLER</t>
  </si>
  <si>
    <t>• Veri toplama formunu tasarlamak
• Excel/SPSS analiz modelini kurmak
• Geri bildirim şablonlarını geliştirmek
• Hata ve tutarsızlıkları gidermek</t>
  </si>
  <si>
    <t>TAM ERİŞİM:
• Ham ve temiz veri seti
• SPSS/Excel dosyaları
• E-posta şablon yönetimi</t>
  </si>
  <si>
    <t>Beyza Konuker: Forms tasarımı, Excel temizleme, SPSS analiz, e-posta sistemi kurulumu</t>
  </si>
  <si>
    <t>YÖNETİCİLER
(Managers)</t>
  </si>
  <si>
    <t>• Proje stratejisini belirlemek
• TÜBİTAK'a karşı hesap verebilirlik
• Analiz bulgularını politikaya dönüştürmek</t>
  </si>
  <si>
    <t>RAPORLAMA ERİŞİMİ:
• Özet bulgular &amp; grafikler
• Proje ilerleme raporları
(Ham veri erişimi yok)</t>
  </si>
  <si>
    <t>Danışman öğretim üyesi: Proje yönlendirmesi, akademik denetim, TÜBİTAK değerlendirme sürecinde rehberlik</t>
  </si>
  <si>
    <t>SON KULLANICILAR
(End Users)</t>
  </si>
  <si>
    <t>• Anketi doldurmak
• E-posta geri bildirimini okumak
• Önerileri günlük hayata uygulamak
• İsteğe bağlı: ikinci ankete katılmak</t>
  </si>
  <si>
    <t>SINIRLI ERİŞİM:
• Yalnızca kendi form yanıtları
• Kişiselleştirilmiş e-posta
(Başkasının verisi görülemez)</t>
  </si>
  <si>
    <t>9 öğrenci katılımcı (bkonuker@, goruc38@, busenaycl@, vd.): Form doldurma, e-posta alımı</t>
  </si>
  <si>
    <t>DIŞ PAYDAŞLAR
(External Stakeholders)</t>
  </si>
  <si>
    <t>• TÜBİTAK: Proje değerlendirmesi
• Üniversite yönetimi: Politika kararları
• Akademik topluluk: Bilimsel katkı</t>
  </si>
  <si>
    <t>OKUMA ERİŞİMİ:
• Yayınlanan proje raporu
• Anonim istatistiksel bulgular
(Kişisel veri: KESİNLİKLE YOK – KVKK)</t>
  </si>
  <si>
    <t>TÜBİTAK değerlendirici: Proje sonuçlarını inceler. Üniversite rektörlüğü: Finansal danışmanlık programı hayata geçirebilir.</t>
  </si>
  <si>
    <t>VARLIK İLİŞKİ DİAGRAMI VERİ YAPISI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</si>
</sst>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000"/>
    <numFmt numFmtId="166" formatCode="0.0%"/>
  </numFmts>
  <fonts count="58" x14ac:knownFonts="1">
    <font>
      <sz val="10"/>
      <color rgb="FF000000"/>
      <name val="Arial"/>
      <scheme val="minor"/>
    </font>
    <font>
      <sz val="10"/>
      <color theme="1"/>
      <name val="Arial"/>
      <scheme val="minor"/>
    </font>
    <font>
      <b/>
      <sz val="16"/>
      <color rgb="FFFFFFFF"/>
      <name val="Calibri"/>
    </font>
    <font>
      <i/>
      <sz val="10"/>
      <color rgb="FFFFFFFF"/>
      <name val="Calibri"/>
    </font>
    <font>
      <b/>
      <sz val="12"/>
      <color rgb="FFFFFFFF"/>
      <name val="Calibri"/>
    </font>
    <font>
      <b/>
      <sz val="10"/>
      <color rgb="FFFFFFFF"/>
      <name val="Calibri"/>
    </font>
    <font>
      <sz val="10"/>
      <color rgb="FF000000"/>
      <name val="Calibri"/>
    </font>
    <font>
      <b/>
      <sz val="10"/>
      <color rgb="FF375623"/>
      <name val="Calibri"/>
    </font>
    <font>
      <b/>
      <sz val="10"/>
      <color rgb="FF2E75B6"/>
      <name val="Calibri"/>
    </font>
    <font>
      <i/>
      <sz val="9"/>
      <color rgb="FFFFFFFF"/>
      <name val="Calibri"/>
    </font>
    <font>
      <b/>
      <sz val="10"/>
      <color rgb="FF7F6000"/>
      <name val="Calibri"/>
    </font>
    <font>
      <i/>
      <sz val="10"/>
      <color rgb="FF1F3864"/>
      <name val="Calibri"/>
    </font>
    <font>
      <b/>
      <sz val="13"/>
      <color rgb="FFFFFFFF"/>
      <name val="Calibri"/>
    </font>
    <font>
      <b/>
      <sz val="9"/>
      <color rgb="FFFFFFFF"/>
      <name val="Calibri"/>
    </font>
    <font>
      <b/>
      <sz val="10"/>
      <color rgb="FFC00000"/>
      <name val="Calibri"/>
    </font>
    <font>
      <i/>
      <sz val="9"/>
      <color rgb="FF000000"/>
      <name val="Calibri"/>
    </font>
    <font>
      <i/>
      <sz val="10"/>
      <color rgb="FF000000"/>
      <name val="Calibri"/>
    </font>
    <font>
      <b/>
      <sz val="13"/>
      <color rgb="FFFFFFFF"/>
      <name val="Arial"/>
      <family val="2"/>
    </font>
    <font>
      <i/>
      <sz val="9"/>
      <color rgb="FF444444"/>
      <name val="Arial"/>
      <family val="2"/>
    </font>
    <font>
      <b/>
      <sz val="10"/>
      <name val="Arial"/>
      <family val="2"/>
    </font>
    <font>
      <sz val="10"/>
      <name val="Arial"/>
      <family val="2"/>
    </font>
    <font>
      <i/>
      <sz val="9"/>
      <name val="Arial"/>
      <family val="2"/>
    </font>
    <font>
      <b/>
      <sz val="12"/>
      <color rgb="FFFFFFFF"/>
      <name val="Arial"/>
      <family val="2"/>
    </font>
    <font>
      <b/>
      <sz val="10"/>
      <color rgb="FFFFFFFF"/>
      <name val="Arial"/>
      <family val="2"/>
    </font>
    <font>
      <b/>
      <sz val="10"/>
      <color rgb="FF0000FF"/>
      <name val="Arial"/>
      <family val="2"/>
    </font>
    <font>
      <b/>
      <sz val="10"/>
      <color rgb="FF000000"/>
      <name val="Arial"/>
      <family val="2"/>
    </font>
    <font>
      <sz val="10"/>
      <color rgb="FF000000"/>
      <name val="Arial"/>
      <family val="2"/>
    </font>
    <font>
      <sz val="10"/>
      <color rgb="FF0000FF"/>
      <name val="Arial"/>
      <family val="2"/>
    </font>
    <font>
      <i/>
      <sz val="9"/>
      <color rgb="FF555555"/>
      <name val="Arial"/>
      <family val="2"/>
    </font>
    <font>
      <sz val="12"/>
      <color rgb="FFFFFFFF"/>
      <name val="Arial"/>
      <family val="2"/>
    </font>
    <font>
      <sz val="16"/>
      <color theme="1"/>
      <name val="Arial"/>
      <family val="2"/>
      <charset val="162"/>
      <scheme val="minor"/>
    </font>
    <font>
      <sz val="10"/>
      <color rgb="FF000000"/>
      <name val="Arial"/>
      <family val="2"/>
      <scheme val="minor"/>
    </font>
    <font>
      <b/>
      <sz val="16"/>
      <color rgb="FFFFFFFF"/>
      <name val="Calibri"/>
      <family val="2"/>
    </font>
    <font>
      <i/>
      <sz val="10"/>
      <color rgb="FFFFFFFF"/>
      <name val="Calibri"/>
      <family val="2"/>
    </font>
    <font>
      <b/>
      <sz val="12"/>
      <color rgb="FFFFFFFF"/>
      <name val="Calibri"/>
      <family val="2"/>
    </font>
    <font>
      <b/>
      <sz val="10"/>
      <color rgb="FFFFFFFF"/>
      <name val="Calibri"/>
      <family val="2"/>
    </font>
    <font>
      <b/>
      <sz val="10"/>
      <color rgb="FF2E75B6"/>
      <name val="Calibri"/>
      <family val="2"/>
    </font>
    <font>
      <sz val="10"/>
      <color rgb="FF000000"/>
      <name val="Calibri"/>
      <family val="2"/>
    </font>
    <font>
      <b/>
      <sz val="10"/>
      <color rgb="FF4B2D7F"/>
      <name val="Calibri"/>
      <family val="2"/>
    </font>
    <font>
      <b/>
      <sz val="10"/>
      <color rgb="FF7F6000"/>
      <name val="Calibri"/>
      <family val="2"/>
    </font>
    <font>
      <b/>
      <sz val="10"/>
      <color rgb="FF375623"/>
      <name val="Calibri"/>
      <family val="2"/>
    </font>
    <font>
      <b/>
      <sz val="9"/>
      <color rgb="FF2E75B6"/>
      <name val="Calibri"/>
      <family val="2"/>
    </font>
    <font>
      <b/>
      <sz val="9"/>
      <color rgb="FF1F6B75"/>
      <name val="Calibri"/>
      <family val="2"/>
    </font>
    <font>
      <b/>
      <sz val="9"/>
      <color rgb="FF375623"/>
      <name val="Calibri"/>
      <family val="2"/>
    </font>
    <font>
      <b/>
      <sz val="9"/>
      <color rgb="FF7F6000"/>
      <name val="Calibri"/>
      <family val="2"/>
    </font>
    <font>
      <b/>
      <sz val="9"/>
      <color rgb="FFC55A11"/>
      <name val="Calibri"/>
      <family val="2"/>
    </font>
    <font>
      <b/>
      <sz val="11"/>
      <color rgb="FF2E75B6"/>
      <name val="Calibri"/>
      <family val="2"/>
    </font>
    <font>
      <sz val="8"/>
      <color rgb="FF2E75B6"/>
      <name val="Calibri"/>
      <family val="2"/>
    </font>
    <font>
      <sz val="8"/>
      <color rgb="FF1F6B75"/>
      <name val="Calibri"/>
      <family val="2"/>
    </font>
    <font>
      <sz val="8"/>
      <color rgb="FF375623"/>
      <name val="Calibri"/>
      <family val="2"/>
    </font>
    <font>
      <sz val="8"/>
      <color rgb="FF7F6000"/>
      <name val="Calibri"/>
      <family val="2"/>
    </font>
    <font>
      <sz val="8"/>
      <color rgb="FFC55A11"/>
      <name val="Calibri"/>
      <family val="2"/>
    </font>
    <font>
      <i/>
      <sz val="8"/>
      <color rgb="FF1F6B75"/>
      <name val="Calibri"/>
      <family val="2"/>
    </font>
    <font>
      <b/>
      <sz val="9"/>
      <color rgb="FFC00000"/>
      <name val="Calibri"/>
      <family val="2"/>
    </font>
    <font>
      <b/>
      <sz val="9"/>
      <color rgb="FF4B2D7F"/>
      <name val="Calibri"/>
      <family val="2"/>
    </font>
    <font>
      <sz val="8"/>
      <color rgb="FFC00000"/>
      <name val="Calibri"/>
      <family val="2"/>
    </font>
    <font>
      <sz val="8"/>
      <color rgb="FF4B2D7F"/>
      <name val="Calibri"/>
      <family val="2"/>
    </font>
    <font>
      <b/>
      <sz val="28"/>
      <color rgb="FFFF0000"/>
      <name val="Arial (Gövde)"/>
      <charset val="162"/>
    </font>
  </fonts>
  <fills count="34">
    <fill>
      <patternFill patternType="none"/>
    </fill>
    <fill>
      <patternFill patternType="gray125"/>
    </fill>
    <fill>
      <patternFill patternType="solid">
        <fgColor rgb="FF1F3864"/>
      </patternFill>
    </fill>
    <fill>
      <patternFill patternType="solid">
        <fgColor rgb="FF2E75B6"/>
      </patternFill>
    </fill>
    <fill>
      <patternFill patternType="solid">
        <fgColor rgb="FFEAE0F5"/>
      </patternFill>
    </fill>
    <fill>
      <patternFill patternType="solid">
        <fgColor rgb="FFFFF2CC"/>
      </patternFill>
    </fill>
    <fill>
      <patternFill patternType="solid">
        <fgColor rgb="FFE2EFDA"/>
      </patternFill>
    </fill>
    <fill>
      <patternFill patternType="solid">
        <fgColor rgb="FFD6EEF0"/>
      </patternFill>
    </fill>
    <fill>
      <patternFill patternType="solid">
        <fgColor rgb="FFBDD7EE"/>
      </patternFill>
    </fill>
    <fill>
      <patternFill patternType="solid">
        <fgColor rgb="FFDEEAF1"/>
      </patternFill>
    </fill>
    <fill>
      <patternFill patternType="solid">
        <fgColor rgb="FFFCE4D6"/>
      </patternFill>
    </fill>
    <fill>
      <patternFill patternType="solid">
        <fgColor rgb="FF1F6B75"/>
      </patternFill>
    </fill>
    <fill>
      <patternFill patternType="solid">
        <fgColor rgb="FFFFE0E0"/>
      </patternFill>
    </fill>
    <fill>
      <patternFill patternType="solid">
        <fgColor rgb="FFFFFFFF"/>
      </patternFill>
    </fill>
    <fill>
      <patternFill patternType="solid">
        <fgColor rgb="FF243F60"/>
      </patternFill>
    </fill>
    <fill>
      <patternFill patternType="solid">
        <fgColor theme="9" tint="0.39997558519241921"/>
        <bgColor indexed="64"/>
      </patternFill>
    </fill>
    <fill>
      <patternFill patternType="solid">
        <fgColor rgb="FFEBF3FB"/>
      </patternFill>
    </fill>
    <fill>
      <patternFill patternType="solid">
        <fgColor rgb="FFD6E4F0"/>
      </patternFill>
    </fill>
    <fill>
      <patternFill patternType="solid">
        <fgColor rgb="FFF2F7FB"/>
      </patternFill>
    </fill>
    <fill>
      <patternFill patternType="solid">
        <fgColor rgb="FFFEF9E7"/>
      </patternFill>
    </fill>
    <fill>
      <patternFill patternType="solid">
        <fgColor rgb="FFD5F5E3"/>
      </patternFill>
    </fill>
    <fill>
      <patternFill patternType="solid">
        <fgColor rgb="FFFFDADA"/>
      </patternFill>
    </fill>
    <fill>
      <patternFill patternType="solid">
        <fgColor rgb="FFF8F9FA"/>
      </patternFill>
    </fill>
    <fill>
      <patternFill patternType="solid">
        <fgColor rgb="FF1A5276"/>
      </patternFill>
    </fill>
    <fill>
      <patternFill patternType="solid">
        <fgColor rgb="FFD6EAF8"/>
      </patternFill>
    </fill>
    <fill>
      <patternFill patternType="solid">
        <fgColor rgb="FFF1948A"/>
      </patternFill>
    </fill>
    <fill>
      <patternFill patternType="solid">
        <fgColor rgb="FFF9E79F"/>
      </patternFill>
    </fill>
    <fill>
      <patternFill patternType="solid">
        <fgColor rgb="FFA9DFBF"/>
      </patternFill>
    </fill>
    <fill>
      <patternFill patternType="solid">
        <fgColor rgb="FFEBF5FB"/>
      </patternFill>
    </fill>
    <fill>
      <patternFill patternType="solid">
        <fgColor rgb="FF145A32"/>
      </patternFill>
    </fill>
    <fill>
      <patternFill patternType="solid">
        <fgColor rgb="FFFAD7A0"/>
      </patternFill>
    </fill>
    <fill>
      <patternFill patternType="solid">
        <fgColor rgb="FF6C3483"/>
      </patternFill>
    </fill>
    <fill>
      <patternFill patternType="solid">
        <fgColor rgb="FFE8DAEF"/>
      </patternFill>
    </fill>
    <fill>
      <patternFill patternType="solid">
        <fgColor theme="0"/>
        <bgColor indexed="64"/>
      </patternFill>
    </fill>
  </fills>
  <borders count="49">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FBFBF"/>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medium">
        <color rgb="FF1F3864"/>
      </left>
      <right/>
      <top/>
      <bottom/>
      <diagonal/>
    </border>
    <border>
      <left style="thin">
        <color rgb="FFBFBFBF"/>
      </left>
      <right style="thin">
        <color rgb="FFBFBFBF"/>
      </right>
      <top style="thin">
        <color rgb="FFBFBFBF"/>
      </top>
      <bottom/>
      <diagonal/>
    </border>
    <border>
      <left style="thin">
        <color rgb="FFE0E0E0"/>
      </left>
      <right/>
      <top style="thin">
        <color rgb="FFE0E0E0"/>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top/>
      <bottom style="thin">
        <color rgb="FFE0E0E0"/>
      </bottom>
      <diagonal/>
    </border>
    <border>
      <left style="thin">
        <color rgb="FFE0E0E0"/>
      </left>
      <right/>
      <top style="thin">
        <color rgb="FFE0E0E0"/>
      </top>
      <bottom/>
      <diagonal/>
    </border>
    <border>
      <left/>
      <right style="thin">
        <color rgb="FFE0E0E0"/>
      </right>
      <top style="thin">
        <color rgb="FFE0E0E0"/>
      </top>
      <bottom/>
      <diagonal/>
    </border>
    <border>
      <left style="thin">
        <color rgb="FFE0E0E0"/>
      </left>
      <right/>
      <top/>
      <bottom style="thin">
        <color rgb="FFE0E0E0"/>
      </bottom>
      <diagonal/>
    </border>
    <border>
      <left/>
      <right style="thin">
        <color rgb="FFE0E0E0"/>
      </right>
      <top/>
      <bottom style="thin">
        <color rgb="FFE0E0E0"/>
      </bottom>
      <diagonal/>
    </border>
    <border>
      <left style="thin">
        <color rgb="FFE0E0E0"/>
      </left>
      <right/>
      <top/>
      <bottom/>
      <diagonal/>
    </border>
    <border>
      <left style="thin">
        <color rgb="FFE0E0E0"/>
      </left>
      <right style="thin">
        <color rgb="FFE0E0E0"/>
      </right>
      <top style="thin">
        <color rgb="FFE0E0E0"/>
      </top>
      <bottom/>
      <diagonal/>
    </border>
    <border>
      <left style="medium">
        <color rgb="FFE0E0E0"/>
      </left>
      <right style="medium">
        <color rgb="FF1F3864"/>
      </right>
      <top style="medium">
        <color rgb="FFE0E0E0"/>
      </top>
      <bottom style="medium">
        <color rgb="FFE0E0E0"/>
      </bottom>
      <diagonal/>
    </border>
    <border>
      <left/>
      <right/>
      <top style="medium">
        <color rgb="FFE0E0E0"/>
      </top>
      <bottom style="medium">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right style="medium">
        <color rgb="FF1F3864"/>
      </right>
      <top style="medium">
        <color rgb="FFE0E0E0"/>
      </top>
      <bottom style="medium">
        <color rgb="FFE0E0E0"/>
      </bottom>
      <diagonal/>
    </border>
    <border>
      <left/>
      <right/>
      <top style="thin">
        <color rgb="FFBFBFBF"/>
      </top>
      <bottom style="thin">
        <color rgb="FFBFBFBF"/>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BFBFBF"/>
      </left>
      <right style="thin">
        <color rgb="FFBFBFBF"/>
      </right>
      <top/>
      <bottom style="thin">
        <color rgb="FFBFBFBF"/>
      </bottom>
      <diagonal/>
    </border>
    <border>
      <left/>
      <right/>
      <top/>
      <bottom style="medium">
        <color rgb="FF1F3864"/>
      </bottom>
      <diagonal/>
    </border>
    <border>
      <left style="medium">
        <color rgb="FF1F3864"/>
      </left>
      <right/>
      <top style="medium">
        <color rgb="FF1F3864"/>
      </top>
      <bottom style="medium">
        <color rgb="FF1F3864"/>
      </bottom>
      <diagonal/>
    </border>
    <border>
      <left style="thin">
        <color rgb="FFBFBFBF"/>
      </left>
      <right/>
      <top style="medium">
        <color rgb="FF1F3864"/>
      </top>
      <bottom style="thin">
        <color rgb="FFBFBFBF"/>
      </bottom>
      <diagonal/>
    </border>
    <border>
      <left/>
      <right/>
      <top style="medium">
        <color rgb="FF1F3864"/>
      </top>
      <bottom style="thin">
        <color rgb="FFBFBFBF"/>
      </bottom>
      <diagonal/>
    </border>
    <border>
      <left/>
      <right style="thin">
        <color rgb="FFBFBFBF"/>
      </right>
      <top style="medium">
        <color rgb="FF1F3864"/>
      </top>
      <bottom style="thin">
        <color rgb="FFBFBFBF"/>
      </bottom>
      <diagonal/>
    </border>
    <border>
      <left style="medium">
        <color rgb="FF1F3864"/>
      </left>
      <right/>
      <top/>
      <bottom style="medium">
        <color rgb="FF1F3864"/>
      </bottom>
      <diagonal/>
    </border>
    <border>
      <left/>
      <right style="medium">
        <color rgb="FF1F3864"/>
      </right>
      <top/>
      <bottom style="medium">
        <color rgb="FF1F3864"/>
      </bottom>
      <diagonal/>
    </border>
  </borders>
  <cellStyleXfs count="1">
    <xf numFmtId="0" fontId="0" fillId="0" borderId="0"/>
  </cellStyleXfs>
  <cellXfs count="26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5" fillId="3"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6" fillId="9"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8" fillId="9"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6" fillId="9"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5" fillId="9" borderId="2" xfId="0" applyFont="1" applyFill="1" applyBorder="1" applyAlignment="1">
      <alignment horizontal="left" vertical="center" wrapText="1"/>
    </xf>
    <xf numFmtId="0" fontId="15" fillId="8" borderId="2"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15" fillId="10" borderId="2" xfId="0" applyFont="1" applyFill="1" applyBorder="1" applyAlignment="1">
      <alignment horizontal="left" vertical="center" wrapText="1"/>
    </xf>
    <xf numFmtId="0" fontId="10" fillId="9"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5" fillId="5"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16" fillId="9" borderId="2" xfId="0" applyFont="1" applyFill="1" applyBorder="1" applyAlignment="1">
      <alignment horizontal="left" vertical="center" wrapText="1"/>
    </xf>
    <xf numFmtId="0" fontId="10" fillId="8" borderId="2" xfId="0" applyFont="1" applyFill="1" applyBorder="1" applyAlignment="1">
      <alignment horizontal="center" vertical="center" wrapText="1"/>
    </xf>
    <xf numFmtId="0" fontId="16" fillId="8" borderId="2" xfId="0" applyFont="1" applyFill="1" applyBorder="1" applyAlignment="1">
      <alignment horizontal="left" vertical="center" wrapText="1"/>
    </xf>
    <xf numFmtId="0" fontId="16" fillId="6" borderId="2" xfId="0" applyFont="1" applyFill="1" applyBorder="1" applyAlignment="1">
      <alignment horizontal="left" vertical="center" wrapText="1"/>
    </xf>
    <xf numFmtId="0" fontId="14" fillId="10" borderId="2" xfId="0" applyFont="1" applyFill="1" applyBorder="1" applyAlignment="1">
      <alignment horizontal="center" vertical="center" wrapText="1"/>
    </xf>
    <xf numFmtId="0" fontId="16" fillId="10" borderId="2" xfId="0" applyFont="1" applyFill="1" applyBorder="1" applyAlignment="1">
      <alignment horizontal="left" vertical="center" wrapText="1"/>
    </xf>
    <xf numFmtId="0" fontId="14" fillId="9"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24" fillId="17" borderId="0" xfId="0" applyFont="1" applyFill="1" applyAlignment="1">
      <alignment horizontal="center"/>
    </xf>
    <xf numFmtId="165" fontId="24" fillId="17" borderId="0" xfId="0" applyNumberFormat="1" applyFont="1" applyFill="1" applyAlignment="1">
      <alignment horizontal="center"/>
    </xf>
    <xf numFmtId="0" fontId="0" fillId="0" borderId="10" xfId="0" applyBorder="1"/>
    <xf numFmtId="0" fontId="19" fillId="17" borderId="10" xfId="0" applyFont="1" applyFill="1" applyBorder="1" applyAlignment="1">
      <alignment horizontal="center"/>
    </xf>
    <xf numFmtId="0" fontId="19" fillId="17" borderId="10" xfId="0" applyFont="1" applyFill="1" applyBorder="1" applyAlignment="1">
      <alignment horizontal="center" vertical="center" wrapText="1"/>
    </xf>
    <xf numFmtId="0" fontId="20" fillId="0" borderId="10" xfId="0" applyFont="1" applyBorder="1" applyAlignment="1">
      <alignment horizontal="center" vertical="center"/>
    </xf>
    <xf numFmtId="165" fontId="20" fillId="21" borderId="10" xfId="0" applyNumberFormat="1" applyFont="1" applyFill="1" applyBorder="1" applyAlignment="1">
      <alignment horizontal="center" vertical="center"/>
    </xf>
    <xf numFmtId="165" fontId="20" fillId="19" borderId="10" xfId="0" applyNumberFormat="1" applyFont="1" applyFill="1" applyBorder="1" applyAlignment="1">
      <alignment horizontal="center" vertical="center"/>
    </xf>
    <xf numFmtId="165" fontId="20" fillId="20" borderId="10" xfId="0" applyNumberFormat="1" applyFont="1" applyFill="1" applyBorder="1" applyAlignment="1">
      <alignment horizontal="center" vertical="center"/>
    </xf>
    <xf numFmtId="0" fontId="20" fillId="18" borderId="10" xfId="0" applyFont="1" applyFill="1" applyBorder="1" applyAlignment="1">
      <alignment horizontal="center" vertical="center"/>
    </xf>
    <xf numFmtId="0" fontId="20" fillId="19" borderId="10" xfId="0" applyFont="1" applyFill="1" applyBorder="1" applyAlignment="1">
      <alignment horizontal="center" vertical="center"/>
    </xf>
    <xf numFmtId="0" fontId="20" fillId="20" borderId="10" xfId="0" applyFont="1" applyFill="1" applyBorder="1" applyAlignment="1">
      <alignment horizontal="center" vertical="center"/>
    </xf>
    <xf numFmtId="0" fontId="20" fillId="21" borderId="10" xfId="0" applyFont="1" applyFill="1" applyBorder="1" applyAlignment="1">
      <alignment horizontal="center" vertical="center"/>
    </xf>
    <xf numFmtId="0" fontId="20" fillId="13" borderId="10" xfId="0" applyFont="1" applyFill="1" applyBorder="1" applyAlignment="1">
      <alignment horizontal="center" vertical="center"/>
    </xf>
    <xf numFmtId="0" fontId="19" fillId="27" borderId="10" xfId="0" applyFont="1" applyFill="1" applyBorder="1" applyAlignment="1">
      <alignment horizontal="center"/>
    </xf>
    <xf numFmtId="0" fontId="19" fillId="30" borderId="10" xfId="0" applyFont="1" applyFill="1" applyBorder="1" applyAlignment="1">
      <alignment horizontal="center"/>
    </xf>
    <xf numFmtId="3" fontId="27" fillId="13" borderId="10" xfId="0" applyNumberFormat="1" applyFont="1" applyFill="1" applyBorder="1" applyAlignment="1">
      <alignment vertical="center"/>
    </xf>
    <xf numFmtId="3" fontId="27" fillId="28" borderId="10" xfId="0" applyNumberFormat="1" applyFont="1" applyFill="1" applyBorder="1" applyAlignment="1">
      <alignment vertical="center"/>
    </xf>
    <xf numFmtId="166" fontId="27" fillId="13" borderId="10" xfId="0" applyNumberFormat="1" applyFont="1" applyFill="1" applyBorder="1" applyAlignment="1">
      <alignment vertical="center"/>
    </xf>
    <xf numFmtId="165" fontId="27" fillId="28" borderId="10" xfId="0" applyNumberFormat="1" applyFont="1" applyFill="1" applyBorder="1" applyAlignment="1">
      <alignment vertical="center"/>
    </xf>
    <xf numFmtId="165" fontId="27" fillId="13" borderId="10" xfId="0" applyNumberFormat="1" applyFont="1" applyFill="1" applyBorder="1" applyAlignment="1">
      <alignment vertical="center"/>
    </xf>
    <xf numFmtId="0" fontId="25" fillId="8" borderId="6" xfId="0" applyFont="1" applyFill="1" applyBorder="1" applyAlignment="1">
      <alignment horizontal="center" vertical="center"/>
    </xf>
    <xf numFmtId="0" fontId="22" fillId="3" borderId="10" xfId="0" applyFont="1" applyFill="1" applyBorder="1" applyAlignment="1">
      <alignment vertical="center"/>
    </xf>
    <xf numFmtId="0" fontId="29" fillId="3" borderId="0" xfId="0" applyFont="1" applyFill="1" applyAlignment="1">
      <alignment vertical="center"/>
    </xf>
    <xf numFmtId="0" fontId="22" fillId="3" borderId="0" xfId="0" applyFont="1" applyFill="1" applyAlignment="1">
      <alignment vertical="center"/>
    </xf>
    <xf numFmtId="0" fontId="26" fillId="13" borderId="6" xfId="0" applyFont="1" applyFill="1" applyBorder="1" applyAlignment="1">
      <alignment horizontal="center" vertical="center"/>
    </xf>
    <xf numFmtId="0" fontId="26" fillId="28" borderId="6" xfId="0" applyFont="1" applyFill="1" applyBorder="1" applyAlignment="1">
      <alignment horizontal="center" vertical="center"/>
    </xf>
    <xf numFmtId="0" fontId="22" fillId="3" borderId="11" xfId="0" applyFont="1" applyFill="1" applyBorder="1" applyAlignment="1">
      <alignment vertical="center"/>
    </xf>
    <xf numFmtId="0" fontId="22" fillId="3" borderId="9" xfId="0" applyFont="1" applyFill="1" applyBorder="1" applyAlignment="1">
      <alignment vertical="center"/>
    </xf>
    <xf numFmtId="0" fontId="20" fillId="20" borderId="10" xfId="0" applyFont="1" applyFill="1" applyBorder="1" applyAlignment="1">
      <alignment horizontal="center" vertical="center" wrapText="1"/>
    </xf>
    <xf numFmtId="0" fontId="20" fillId="19" borderId="10"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20" fillId="16" borderId="10" xfId="0" applyFont="1" applyFill="1" applyBorder="1" applyAlignment="1">
      <alignment horizontal="left" vertical="center"/>
    </xf>
    <xf numFmtId="0" fontId="20" fillId="16" borderId="10" xfId="0" applyFont="1" applyFill="1" applyBorder="1" applyAlignment="1">
      <alignment horizontal="center" vertical="center"/>
    </xf>
    <xf numFmtId="0" fontId="20" fillId="13" borderId="10" xfId="0" applyFont="1" applyFill="1" applyBorder="1" applyAlignment="1">
      <alignment horizontal="left" vertical="center"/>
    </xf>
    <xf numFmtId="0" fontId="8" fillId="4" borderId="16" xfId="0" applyFont="1" applyFill="1" applyBorder="1" applyAlignment="1">
      <alignment horizontal="left" vertical="center" wrapText="1"/>
    </xf>
    <xf numFmtId="0" fontId="8" fillId="33" borderId="17" xfId="0" applyFont="1" applyFill="1" applyBorder="1" applyAlignment="1">
      <alignment horizontal="left" vertical="center" wrapText="1"/>
    </xf>
    <xf numFmtId="0" fontId="0" fillId="0" borderId="18" xfId="0" applyBorder="1"/>
    <xf numFmtId="0" fontId="6" fillId="33" borderId="19" xfId="0" applyFont="1" applyFill="1" applyBorder="1" applyAlignment="1">
      <alignment horizontal="left" vertical="center" wrapText="1"/>
    </xf>
    <xf numFmtId="0" fontId="9" fillId="33" borderId="21" xfId="0" applyFont="1" applyFill="1" applyBorder="1" applyAlignment="1">
      <alignment vertical="center" wrapText="1"/>
    </xf>
    <xf numFmtId="0" fontId="0" fillId="0" borderId="22" xfId="0" applyBorder="1"/>
    <xf numFmtId="0" fontId="0" fillId="0" borderId="23" xfId="0" applyBorder="1"/>
    <xf numFmtId="0" fontId="0" fillId="0" borderId="24" xfId="0" applyBorder="1"/>
    <xf numFmtId="0" fontId="0" fillId="0" borderId="17" xfId="0" applyBorder="1"/>
    <xf numFmtId="0" fontId="0" fillId="0" borderId="19" xfId="0" applyBorder="1"/>
    <xf numFmtId="0" fontId="0" fillId="0" borderId="21" xfId="0" applyBorder="1"/>
    <xf numFmtId="0" fontId="0" fillId="0" borderId="26" xfId="0" applyBorder="1"/>
    <xf numFmtId="0" fontId="0" fillId="33" borderId="19" xfId="0" applyFill="1" applyBorder="1" applyAlignment="1">
      <alignment vertical="top" wrapText="1"/>
    </xf>
    <xf numFmtId="0" fontId="0" fillId="33" borderId="26" xfId="0" applyFill="1" applyBorder="1" applyAlignment="1">
      <alignment vertical="top" wrapText="1"/>
    </xf>
    <xf numFmtId="0" fontId="0" fillId="33" borderId="29" xfId="0" applyFill="1" applyBorder="1" applyAlignment="1">
      <alignment vertical="top" wrapText="1"/>
    </xf>
    <xf numFmtId="0" fontId="0" fillId="33" borderId="22" xfId="0" applyFill="1" applyBorder="1" applyAlignment="1">
      <alignment vertical="top" wrapText="1"/>
    </xf>
    <xf numFmtId="0" fontId="0" fillId="0" borderId="30" xfId="0" applyBorder="1"/>
    <xf numFmtId="0" fontId="30" fillId="33" borderId="19" xfId="0" applyFont="1" applyFill="1" applyBorder="1" applyAlignment="1">
      <alignment vertical="top" wrapText="1"/>
    </xf>
    <xf numFmtId="0" fontId="0" fillId="33" borderId="19" xfId="0" applyFill="1" applyBorder="1"/>
    <xf numFmtId="0" fontId="0" fillId="0" borderId="20" xfId="0" applyBorder="1"/>
    <xf numFmtId="0" fontId="0" fillId="0" borderId="25" xfId="0" applyBorder="1"/>
    <xf numFmtId="0" fontId="5" fillId="11" borderId="2" xfId="0" applyFont="1" applyFill="1" applyBorder="1" applyAlignment="1">
      <alignment horizontal="center" vertical="center" wrapText="1"/>
    </xf>
    <xf numFmtId="0" fontId="0" fillId="0" borderId="35" xfId="0" applyBorder="1"/>
    <xf numFmtId="0" fontId="0" fillId="0" borderId="3" xfId="0" applyBorder="1"/>
    <xf numFmtId="0" fontId="4" fillId="2" borderId="1" xfId="0" applyFont="1" applyFill="1" applyBorder="1" applyAlignment="1">
      <alignment horizontal="left" vertical="center" wrapText="1"/>
    </xf>
    <xf numFmtId="0" fontId="0" fillId="0" borderId="36" xfId="0" applyBorder="1"/>
    <xf numFmtId="0" fontId="0" fillId="0" borderId="37" xfId="0" applyBorder="1"/>
    <xf numFmtId="0" fontId="5" fillId="3" borderId="31" xfId="0" applyFont="1" applyFill="1" applyBorder="1" applyAlignment="1">
      <alignment horizontal="center" vertical="center" wrapText="1"/>
    </xf>
    <xf numFmtId="0" fontId="0" fillId="0" borderId="14" xfId="0" applyBorder="1"/>
    <xf numFmtId="0" fontId="6" fillId="4" borderId="16" xfId="0" applyFont="1" applyFill="1" applyBorder="1" applyAlignment="1">
      <alignment horizontal="left" vertical="center" wrapText="1"/>
    </xf>
    <xf numFmtId="0" fontId="0" fillId="0" borderId="32" xfId="0" applyBorder="1"/>
    <xf numFmtId="0" fontId="0" fillId="0" borderId="33" xfId="0" applyBorder="1"/>
    <xf numFmtId="0" fontId="5" fillId="11" borderId="4" xfId="0" applyFont="1" applyFill="1" applyBorder="1" applyAlignment="1">
      <alignment horizontal="center" vertical="center" wrapText="1"/>
    </xf>
    <xf numFmtId="0" fontId="0" fillId="0" borderId="5" xfId="0" applyBorder="1"/>
    <xf numFmtId="0" fontId="6" fillId="9" borderId="31" xfId="0" applyFont="1" applyFill="1" applyBorder="1" applyAlignment="1">
      <alignment horizontal="center" vertical="center" wrapText="1"/>
    </xf>
    <xf numFmtId="0" fontId="15" fillId="5"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5" fillId="3" borderId="2" xfId="0" applyFont="1" applyFill="1" applyBorder="1" applyAlignment="1">
      <alignment horizontal="center" vertical="center"/>
    </xf>
    <xf numFmtId="0" fontId="6" fillId="4"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6" fillId="5" borderId="27" xfId="0" applyFont="1" applyFill="1" applyBorder="1" applyAlignment="1">
      <alignment horizontal="center" vertical="center" wrapText="1"/>
    </xf>
    <xf numFmtId="0" fontId="0" fillId="0" borderId="28" xfId="0" applyBorder="1"/>
    <xf numFmtId="0" fontId="0" fillId="0" borderId="34" xfId="0" applyBorder="1"/>
    <xf numFmtId="0" fontId="6" fillId="7" borderId="31" xfId="0" quotePrefix="1"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7" borderId="31" xfId="0" applyFont="1" applyFill="1" applyBorder="1" applyAlignment="1">
      <alignment horizontal="center" vertical="center" wrapText="1"/>
    </xf>
    <xf numFmtId="0" fontId="6" fillId="9"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5" fillId="11" borderId="13" xfId="0" applyFont="1" applyFill="1" applyBorder="1" applyAlignment="1">
      <alignment horizontal="center" vertical="center" wrapText="1"/>
    </xf>
    <xf numFmtId="0" fontId="0" fillId="0" borderId="0" xfId="0"/>
    <xf numFmtId="0" fontId="6" fillId="10"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3" fillId="3" borderId="0" xfId="0" applyFont="1" applyFill="1" applyAlignment="1">
      <alignment horizontal="center" vertical="center" wrapText="1"/>
    </xf>
    <xf numFmtId="0" fontId="6" fillId="4" borderId="2"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6" fillId="6" borderId="31" xfId="0" applyFont="1" applyFill="1" applyBorder="1" applyAlignment="1">
      <alignment horizontal="center" vertical="center" wrapText="1"/>
    </xf>
    <xf numFmtId="0" fontId="6" fillId="6" borderId="13" xfId="0" applyFont="1" applyFill="1" applyBorder="1" applyAlignment="1">
      <alignment horizontal="left" vertical="center" wrapText="1"/>
    </xf>
    <xf numFmtId="0" fontId="6" fillId="10" borderId="3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6" fillId="5" borderId="13" xfId="0" applyFont="1" applyFill="1" applyBorder="1" applyAlignment="1">
      <alignment horizontal="left" vertical="center" wrapText="1"/>
    </xf>
    <xf numFmtId="0" fontId="15" fillId="9" borderId="2" xfId="0" applyFont="1" applyFill="1" applyBorder="1" applyAlignment="1">
      <alignment horizontal="left" vertical="center" wrapText="1"/>
    </xf>
    <xf numFmtId="0" fontId="6" fillId="4" borderId="3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3" fillId="33" borderId="19" xfId="0" applyFont="1" applyFill="1" applyBorder="1" applyAlignment="1">
      <alignment horizontal="center" vertical="center" wrapText="1"/>
    </xf>
    <xf numFmtId="0" fontId="0" fillId="0" borderId="18" xfId="0" applyBorder="1"/>
    <xf numFmtId="0" fontId="6" fillId="10" borderId="13"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5" fillId="3" borderId="4"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6" fillId="8" borderId="3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6" borderId="31" xfId="0" applyFont="1" applyFill="1" applyBorder="1" applyAlignment="1">
      <alignment horizontal="center" vertical="center"/>
    </xf>
    <xf numFmtId="0" fontId="12" fillId="14" borderId="1" xfId="0" applyFont="1" applyFill="1" applyBorder="1" applyAlignment="1">
      <alignment horizontal="center" vertical="center" wrapText="1"/>
    </xf>
    <xf numFmtId="0" fontId="20" fillId="13" borderId="10" xfId="0" applyFont="1" applyFill="1" applyBorder="1" applyAlignment="1">
      <alignment horizontal="center" vertical="center"/>
    </xf>
    <xf numFmtId="0" fontId="0" fillId="0" borderId="38" xfId="0" applyBorder="1"/>
    <xf numFmtId="0" fontId="20" fillId="19" borderId="10" xfId="0" applyFont="1" applyFill="1" applyBorder="1" applyAlignment="1">
      <alignment horizontal="center" vertical="center" wrapText="1"/>
    </xf>
    <xf numFmtId="0" fontId="19" fillId="20" borderId="10" xfId="0" applyFont="1" applyFill="1" applyBorder="1" applyAlignment="1">
      <alignment horizontal="center" vertical="center"/>
    </xf>
    <xf numFmtId="0" fontId="28" fillId="13" borderId="10" xfId="0" applyFont="1" applyFill="1" applyBorder="1" applyAlignment="1">
      <alignment horizontal="center" vertical="center"/>
    </xf>
    <xf numFmtId="0" fontId="23" fillId="25" borderId="10" xfId="0" applyFont="1" applyFill="1" applyBorder="1" applyAlignment="1">
      <alignment horizontal="center" vertical="center"/>
    </xf>
    <xf numFmtId="0" fontId="0" fillId="0" borderId="39" xfId="0" applyBorder="1"/>
    <xf numFmtId="0" fontId="22" fillId="3" borderId="0" xfId="0" applyFont="1" applyFill="1" applyAlignment="1">
      <alignment horizontal="center" vertical="center"/>
    </xf>
    <xf numFmtId="0" fontId="20" fillId="20" borderId="10" xfId="0" applyFont="1" applyFill="1" applyBorder="1" applyAlignment="1">
      <alignment horizontal="center" vertical="center" wrapText="1"/>
    </xf>
    <xf numFmtId="0" fontId="19" fillId="17" borderId="10" xfId="0" applyFont="1" applyFill="1" applyBorder="1" applyAlignment="1">
      <alignment horizontal="center" vertical="center" wrapText="1"/>
    </xf>
    <xf numFmtId="0" fontId="0" fillId="0" borderId="10" xfId="0" applyBorder="1" applyAlignment="1">
      <alignment horizontal="center"/>
    </xf>
    <xf numFmtId="0" fontId="18" fillId="24" borderId="0" xfId="0" applyFont="1" applyFill="1" applyAlignment="1">
      <alignment horizontal="center" vertical="center" wrapText="1"/>
    </xf>
    <xf numFmtId="0" fontId="20" fillId="19" borderId="10" xfId="0" applyFont="1" applyFill="1" applyBorder="1" applyAlignment="1">
      <alignment horizontal="center" vertical="center"/>
    </xf>
    <xf numFmtId="0" fontId="18" fillId="32" borderId="0" xfId="0" applyFont="1" applyFill="1" applyAlignment="1">
      <alignment horizontal="left" vertical="center" wrapText="1"/>
    </xf>
    <xf numFmtId="0" fontId="20" fillId="16" borderId="10" xfId="0" applyFont="1" applyFill="1" applyBorder="1" applyAlignment="1">
      <alignment horizontal="center" vertical="center" wrapText="1"/>
    </xf>
    <xf numFmtId="0" fontId="17" fillId="31" borderId="0" xfId="0" applyFont="1" applyFill="1" applyAlignment="1">
      <alignment horizontal="center" vertical="center"/>
    </xf>
    <xf numFmtId="0" fontId="18" fillId="16" borderId="0" xfId="0" applyFont="1" applyFill="1" applyAlignment="1">
      <alignment horizontal="center" vertical="center" wrapText="1"/>
    </xf>
    <xf numFmtId="0" fontId="28" fillId="28" borderId="10" xfId="0" applyFont="1" applyFill="1" applyBorder="1" applyAlignment="1">
      <alignment horizontal="center" vertical="center"/>
    </xf>
    <xf numFmtId="0" fontId="20" fillId="16" borderId="10" xfId="0" applyFont="1" applyFill="1" applyBorder="1" applyAlignment="1">
      <alignment horizontal="center" vertical="center"/>
    </xf>
    <xf numFmtId="0" fontId="17" fillId="29" borderId="0" xfId="0" applyFont="1" applyFill="1" applyAlignment="1">
      <alignment horizontal="center" vertical="center"/>
    </xf>
    <xf numFmtId="0" fontId="20" fillId="26" borderId="10" xfId="0" applyFont="1" applyFill="1" applyBorder="1" applyAlignment="1">
      <alignment horizontal="center" vertical="center"/>
    </xf>
    <xf numFmtId="0" fontId="20" fillId="27" borderId="10" xfId="0" applyFont="1" applyFill="1" applyBorder="1" applyAlignment="1">
      <alignment horizontal="center" vertical="center"/>
    </xf>
    <xf numFmtId="0" fontId="17" fillId="23" borderId="0" xfId="0" applyFont="1" applyFill="1" applyAlignment="1">
      <alignment horizontal="center" vertical="center"/>
    </xf>
    <xf numFmtId="0" fontId="18" fillId="20" borderId="0" xfId="0" applyFont="1" applyFill="1" applyAlignment="1">
      <alignment horizontal="left" vertical="center" wrapText="1"/>
    </xf>
    <xf numFmtId="0" fontId="19" fillId="30" borderId="10" xfId="0" applyFont="1" applyFill="1" applyBorder="1" applyAlignment="1">
      <alignment horizontal="center"/>
    </xf>
    <xf numFmtId="0" fontId="21" fillId="22" borderId="40" xfId="0" applyFont="1" applyFill="1" applyBorder="1" applyAlignment="1">
      <alignment horizontal="center"/>
    </xf>
    <xf numFmtId="0" fontId="0" fillId="0" borderId="7" xfId="0" applyBorder="1"/>
    <xf numFmtId="0" fontId="0" fillId="0" borderId="8" xfId="0" applyBorder="1"/>
    <xf numFmtId="0" fontId="19" fillId="17" borderId="0" xfId="0" applyFont="1" applyFill="1" applyAlignment="1">
      <alignment horizontal="center"/>
    </xf>
    <xf numFmtId="0" fontId="17" fillId="2" borderId="0" xfId="0" applyFont="1" applyFill="1" applyAlignment="1">
      <alignment horizontal="center" vertical="center"/>
    </xf>
    <xf numFmtId="0" fontId="31" fillId="0" borderId="0" xfId="0" applyFont="1"/>
    <xf numFmtId="0" fontId="32" fillId="2" borderId="1" xfId="0" applyFont="1" applyFill="1" applyBorder="1" applyAlignment="1">
      <alignment horizontal="center" vertical="center" wrapText="1"/>
    </xf>
    <xf numFmtId="0" fontId="33" fillId="3" borderId="0" xfId="0" applyFont="1" applyFill="1" applyAlignment="1">
      <alignment horizontal="center" vertical="center" wrapText="1"/>
    </xf>
    <xf numFmtId="0" fontId="34" fillId="2" borderId="1" xfId="0" applyFont="1" applyFill="1" applyBorder="1" applyAlignment="1">
      <alignment horizontal="left" vertical="center" wrapText="1"/>
    </xf>
    <xf numFmtId="0" fontId="35" fillId="3" borderId="2" xfId="0" applyFont="1" applyFill="1" applyBorder="1" applyAlignment="1">
      <alignment horizontal="center" vertical="center" wrapText="1"/>
    </xf>
    <xf numFmtId="0" fontId="36" fillId="9" borderId="2" xfId="0" applyFont="1" applyFill="1" applyBorder="1" applyAlignment="1">
      <alignment horizontal="center" vertical="center" wrapText="1"/>
    </xf>
    <xf numFmtId="0" fontId="37" fillId="8"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5" borderId="2" xfId="0" applyFont="1" applyFill="1" applyBorder="1" applyAlignment="1">
      <alignment horizontal="center" vertical="center" wrapText="1"/>
    </xf>
    <xf numFmtId="0" fontId="36" fillId="33" borderId="0" xfId="0" applyFont="1" applyFill="1" applyBorder="1" applyAlignment="1">
      <alignment horizontal="center" vertical="center" wrapText="1"/>
    </xf>
    <xf numFmtId="0" fontId="37" fillId="33" borderId="0"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37" fillId="4" borderId="2" xfId="0" applyFont="1" applyFill="1" applyBorder="1" applyAlignment="1">
      <alignment horizontal="left" vertical="center" wrapText="1"/>
    </xf>
    <xf numFmtId="0" fontId="39" fillId="5" borderId="2" xfId="0" applyFont="1" applyFill="1" applyBorder="1" applyAlignment="1">
      <alignment horizontal="center" vertical="center" wrapText="1"/>
    </xf>
    <xf numFmtId="0" fontId="37" fillId="5" borderId="2" xfId="0" applyFont="1" applyFill="1" applyBorder="1" applyAlignment="1">
      <alignment horizontal="left" vertical="center" wrapText="1"/>
    </xf>
    <xf numFmtId="0" fontId="40" fillId="6" borderId="2" xfId="0" applyFont="1" applyFill="1" applyBorder="1" applyAlignment="1">
      <alignment horizontal="center" vertical="center" wrapText="1"/>
    </xf>
    <xf numFmtId="0" fontId="37" fillId="6" borderId="2" xfId="0" applyFont="1" applyFill="1" applyBorder="1" applyAlignment="1">
      <alignment horizontal="left" vertical="center" wrapText="1"/>
    </xf>
    <xf numFmtId="0" fontId="0" fillId="0" borderId="0" xfId="0" applyBorder="1"/>
    <xf numFmtId="0" fontId="40" fillId="33" borderId="0" xfId="0" applyFont="1" applyFill="1" applyBorder="1" applyAlignment="1">
      <alignment horizontal="center" vertical="center" wrapText="1"/>
    </xf>
    <xf numFmtId="0" fontId="37" fillId="33" borderId="0" xfId="0" applyFont="1" applyFill="1" applyBorder="1" applyAlignment="1">
      <alignment horizontal="left" vertical="center" wrapText="1"/>
    </xf>
    <xf numFmtId="0" fontId="0" fillId="33" borderId="0" xfId="0" applyFill="1" applyBorder="1"/>
    <xf numFmtId="0" fontId="36" fillId="6" borderId="2" xfId="0" applyFont="1" applyFill="1" applyBorder="1" applyAlignment="1">
      <alignment horizontal="center" vertical="center" wrapText="1"/>
    </xf>
    <xf numFmtId="0" fontId="37" fillId="10" borderId="2" xfId="0" applyFont="1" applyFill="1" applyBorder="1" applyAlignment="1">
      <alignment horizontal="center" vertical="center" wrapText="1"/>
    </xf>
    <xf numFmtId="0" fontId="36" fillId="4" borderId="2" xfId="0" applyFont="1" applyFill="1" applyBorder="1" applyAlignment="1">
      <alignment horizontal="center" vertical="center" wrapText="1"/>
    </xf>
    <xf numFmtId="0" fontId="37" fillId="12"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2" xfId="0" applyFont="1" applyFill="1" applyBorder="1" applyAlignment="1">
      <alignment horizontal="left" vertical="center" wrapText="1"/>
    </xf>
    <xf numFmtId="0" fontId="37" fillId="6" borderId="2"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36" fillId="10" borderId="2" xfId="0" applyFont="1" applyFill="1" applyBorder="1" applyAlignment="1">
      <alignment horizontal="center" vertical="center" wrapText="1"/>
    </xf>
    <xf numFmtId="0" fontId="37" fillId="10" borderId="2" xfId="0" applyFont="1" applyFill="1" applyBorder="1" applyAlignment="1">
      <alignment horizontal="left" vertical="center" wrapText="1"/>
    </xf>
    <xf numFmtId="0" fontId="37" fillId="4" borderId="2"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7" fillId="7" borderId="2" xfId="0" applyFont="1" applyFill="1" applyBorder="1" applyAlignment="1">
      <alignment horizontal="left" vertical="center" wrapText="1"/>
    </xf>
    <xf numFmtId="0" fontId="41" fillId="9" borderId="2" xfId="0" applyFont="1" applyFill="1" applyBorder="1" applyAlignment="1">
      <alignment horizontal="center" vertical="center" wrapText="1"/>
    </xf>
    <xf numFmtId="0" fontId="41" fillId="8" borderId="2" xfId="0" applyFont="1" applyFill="1" applyBorder="1" applyAlignment="1">
      <alignment horizontal="center" vertical="center" wrapText="1"/>
    </xf>
    <xf numFmtId="0" fontId="42" fillId="7" borderId="2" xfId="0" applyFont="1" applyFill="1" applyBorder="1" applyAlignment="1">
      <alignment horizontal="center" vertical="center" wrapText="1"/>
    </xf>
    <xf numFmtId="0" fontId="43" fillId="6" borderId="2" xfId="0" applyFont="1" applyFill="1" applyBorder="1" applyAlignment="1">
      <alignment horizontal="center" vertical="center" wrapText="1"/>
    </xf>
    <xf numFmtId="0" fontId="44" fillId="5" borderId="2" xfId="0" applyFont="1" applyFill="1" applyBorder="1" applyAlignment="1">
      <alignment horizontal="center" vertical="center" wrapText="1"/>
    </xf>
    <xf numFmtId="0" fontId="45" fillId="10" borderId="2" xfId="0" applyFont="1" applyFill="1" applyBorder="1" applyAlignment="1">
      <alignment horizontal="center" vertical="center" wrapText="1"/>
    </xf>
    <xf numFmtId="0" fontId="0" fillId="0" borderId="41" xfId="0" applyBorder="1"/>
    <xf numFmtId="0" fontId="46" fillId="13" borderId="0" xfId="0" applyFont="1" applyFill="1" applyAlignment="1">
      <alignment horizontal="center" vertical="center"/>
    </xf>
    <xf numFmtId="0" fontId="47" fillId="9" borderId="2" xfId="0" applyFont="1" applyFill="1" applyBorder="1" applyAlignment="1">
      <alignment horizontal="center" vertical="center" wrapText="1"/>
    </xf>
    <xf numFmtId="0" fontId="47" fillId="8" borderId="2" xfId="0" applyFont="1" applyFill="1" applyBorder="1" applyAlignment="1">
      <alignment horizontal="center" vertical="center" wrapText="1"/>
    </xf>
    <xf numFmtId="0" fontId="48" fillId="7" borderId="2" xfId="0" applyFont="1" applyFill="1" applyBorder="1" applyAlignment="1">
      <alignment horizontal="center" vertical="center" wrapText="1"/>
    </xf>
    <xf numFmtId="0" fontId="49" fillId="6" borderId="2"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1" fillId="10" borderId="2" xfId="0" applyFont="1" applyFill="1" applyBorder="1" applyAlignment="1">
      <alignment horizontal="center" vertical="center" wrapText="1"/>
    </xf>
    <xf numFmtId="0" fontId="52" fillId="9" borderId="2" xfId="0" applyFont="1" applyFill="1" applyBorder="1" applyAlignment="1">
      <alignment horizontal="center" vertical="center" wrapText="1"/>
    </xf>
    <xf numFmtId="0" fontId="53" fillId="12" borderId="2" xfId="0" applyFont="1" applyFill="1" applyBorder="1" applyAlignment="1">
      <alignment horizontal="center" vertical="center" wrapText="1"/>
    </xf>
    <xf numFmtId="0" fontId="54" fillId="4" borderId="2" xfId="0" applyFont="1" applyFill="1" applyBorder="1" applyAlignment="1">
      <alignment horizontal="center" vertical="center" wrapText="1"/>
    </xf>
    <xf numFmtId="0" fontId="54" fillId="13" borderId="0" xfId="0" applyFont="1" applyFill="1" applyAlignment="1">
      <alignment horizontal="center" vertical="center"/>
    </xf>
    <xf numFmtId="0" fontId="55" fillId="12" borderId="2" xfId="0" applyFont="1" applyFill="1" applyBorder="1" applyAlignment="1">
      <alignment horizontal="center" vertical="center" wrapText="1"/>
    </xf>
    <xf numFmtId="0" fontId="56" fillId="4" borderId="2" xfId="0" applyFont="1" applyFill="1" applyBorder="1" applyAlignment="1">
      <alignment horizontal="center" vertical="center" wrapText="1"/>
    </xf>
    <xf numFmtId="0" fontId="36" fillId="8" borderId="16" xfId="0" applyFont="1" applyFill="1" applyBorder="1" applyAlignment="1">
      <alignment horizontal="center" vertical="center" wrapText="1"/>
    </xf>
    <xf numFmtId="0" fontId="37" fillId="8" borderId="16" xfId="0" applyFont="1" applyFill="1" applyBorder="1" applyAlignment="1">
      <alignment horizontal="center" vertical="center" wrapText="1"/>
    </xf>
    <xf numFmtId="0" fontId="37" fillId="8" borderId="16" xfId="0" applyFont="1" applyFill="1" applyBorder="1" applyAlignment="1">
      <alignment horizontal="left" vertical="center" wrapText="1"/>
    </xf>
    <xf numFmtId="0" fontId="34" fillId="2" borderId="43" xfId="0" applyFont="1" applyFill="1" applyBorder="1" applyAlignment="1">
      <alignment horizontal="left" vertical="center" wrapText="1"/>
    </xf>
    <xf numFmtId="0" fontId="34" fillId="2" borderId="36" xfId="0" applyFont="1" applyFill="1" applyBorder="1" applyAlignment="1">
      <alignment horizontal="left" vertical="center" wrapText="1"/>
    </xf>
    <xf numFmtId="0" fontId="34" fillId="2" borderId="37" xfId="0" applyFont="1" applyFill="1" applyBorder="1" applyAlignment="1">
      <alignment horizontal="left" vertical="center" wrapText="1"/>
    </xf>
    <xf numFmtId="0" fontId="35" fillId="11" borderId="12" xfId="0" applyFont="1" applyFill="1" applyBorder="1" applyAlignment="1">
      <alignment horizontal="center" vertical="center" wrapText="1"/>
    </xf>
    <xf numFmtId="0" fontId="35" fillId="11" borderId="35" xfId="0" applyFont="1" applyFill="1" applyBorder="1" applyAlignment="1">
      <alignment horizontal="center" vertical="center" wrapText="1"/>
    </xf>
    <xf numFmtId="0" fontId="35" fillId="11" borderId="3" xfId="0" applyFont="1" applyFill="1" applyBorder="1" applyAlignment="1">
      <alignment horizontal="center" vertical="center" wrapText="1"/>
    </xf>
    <xf numFmtId="0" fontId="35" fillId="11" borderId="44" xfId="0" applyFont="1" applyFill="1" applyBorder="1" applyAlignment="1">
      <alignment horizontal="center" vertical="center" wrapText="1"/>
    </xf>
    <xf numFmtId="0" fontId="35" fillId="11" borderId="45" xfId="0" applyFont="1" applyFill="1" applyBorder="1" applyAlignment="1">
      <alignment horizontal="center" vertical="center" wrapText="1"/>
    </xf>
    <xf numFmtId="0" fontId="35" fillId="11" borderId="46" xfId="0" applyFont="1" applyFill="1" applyBorder="1" applyAlignment="1">
      <alignment horizontal="center" vertical="center" wrapText="1"/>
    </xf>
    <xf numFmtId="0" fontId="34" fillId="2" borderId="47" xfId="0" applyFont="1" applyFill="1" applyBorder="1" applyAlignment="1">
      <alignment horizontal="left" vertical="center" wrapText="1"/>
    </xf>
    <xf numFmtId="0" fontId="34" fillId="2" borderId="42" xfId="0" applyFont="1" applyFill="1" applyBorder="1" applyAlignment="1">
      <alignment horizontal="left" vertical="center" wrapText="1"/>
    </xf>
    <xf numFmtId="0" fontId="34" fillId="2" borderId="48" xfId="0" applyFont="1" applyFill="1" applyBorder="1" applyAlignment="1">
      <alignment horizontal="left" vertical="center" wrapText="1"/>
    </xf>
    <xf numFmtId="0" fontId="0" fillId="33" borderId="0" xfId="0" applyFill="1"/>
    <xf numFmtId="0" fontId="57" fillId="15" borderId="0" xfId="0" applyFont="1" applyFill="1"/>
    <xf numFmtId="0" fontId="0" fillId="15" borderId="0" xfId="0" applyFill="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Yanıtları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en-US"/>
              <a:t>Harcama Kalemi Dağılımı (n=9)</a:t>
            </a:r>
          </a:p>
        </c:rich>
      </c:tx>
      <c:layout>
        <c:manualLayout>
          <c:xMode val="edge"/>
          <c:yMode val="edge"/>
          <c:x val="0.31497784657825151"/>
          <c:y val="0.91788856304985333"/>
        </c:manualLayout>
      </c:layout>
      <c:overlay val="1"/>
    </c:title>
    <c:autoTitleDeleted val="0"/>
    <c:plotArea>
      <c:layout/>
      <c:pieChart>
        <c:varyColors val="1"/>
        <c:ser>
          <c:idx val="0"/>
          <c:order val="0"/>
          <c:tx>
            <c:strRef>
              <c:f>'Sunum Hafta 4'!$L$41</c:f>
              <c:strCache>
                <c:ptCount val="1"/>
                <c:pt idx="0">
                  <c:v>Kişi Sayısı</c:v>
                </c:pt>
              </c:strCache>
            </c:strRef>
          </c:tx>
          <c:spPr>
            <a:ln>
              <a:prstDash val="solid"/>
            </a:ln>
          </c:spPr>
          <c:dLbls>
            <c:spPr>
              <a:noFill/>
              <a:ln>
                <a:noFill/>
                <a:prstDash val="solid"/>
              </a:ln>
            </c:spPr>
            <c:showLegendKey val="1"/>
            <c:showVal val="1"/>
            <c:showCatName val="1"/>
            <c:showSerName val="1"/>
            <c:showPercent val="1"/>
            <c:showBubbleSize val="1"/>
            <c:showLeaderLines val="1"/>
            <c:extLst>
              <c:ext xmlns:c15="http://schemas.microsoft.com/office/drawing/2012/chart" uri="{CE6537A1-D6FC-4f65-9D91-7224C49458BB}"/>
            </c:extLst>
          </c:dLbls>
          <c:cat>
            <c:strRef>
              <c:f>'Sunum Hafta 4'!$K$42:$K$44</c:f>
              <c:strCache>
                <c:ptCount val="3"/>
                <c:pt idx="0">
                  <c:v>Yemek</c:v>
                </c:pt>
                <c:pt idx="1">
                  <c:v>Ulaşım</c:v>
                </c:pt>
                <c:pt idx="2">
                  <c:v>Eğlence</c:v>
                </c:pt>
              </c:strCache>
            </c:strRef>
          </c:cat>
          <c:val>
            <c:numRef>
              <c:f>'Sunum Hafta 4'!$L$42:$L$44</c:f>
              <c:numCache>
                <c:formatCode>General</c:formatCode>
                <c:ptCount val="3"/>
                <c:pt idx="0">
                  <c:v>5</c:v>
                </c:pt>
                <c:pt idx="1">
                  <c:v>3</c:v>
                </c:pt>
                <c:pt idx="2">
                  <c:v>1</c:v>
                </c:pt>
              </c:numCache>
            </c:numRef>
          </c:val>
          <c:extLst>
            <c:ext xmlns:c16="http://schemas.microsoft.com/office/drawing/2014/chart" uri="{C3380CC4-5D6E-409C-BE32-E72D297353CC}">
              <c16:uniqueId val="{00000002-14E0-4346-A205-CD3308D9239F}"/>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en-US"/>
              <a:t>Gelir &amp; Harcama Aralığı Dağılımı (n=9)</a:t>
            </a:r>
          </a:p>
        </c:rich>
      </c:tx>
      <c:overlay val="1"/>
    </c:title>
    <c:autoTitleDeleted val="0"/>
    <c:plotArea>
      <c:layout/>
      <c:barChart>
        <c:barDir val="col"/>
        <c:grouping val="clustered"/>
        <c:varyColors val="1"/>
        <c:ser>
          <c:idx val="0"/>
          <c:order val="0"/>
          <c:tx>
            <c:strRef>
              <c:f>'Sunum Hafta 4'!$L$47</c:f>
              <c:strCache>
                <c:ptCount val="1"/>
                <c:pt idx="0">
                  <c:v>Gelir (Kişi)</c:v>
                </c:pt>
              </c:strCache>
            </c:strRef>
          </c:tx>
          <c:spPr>
            <a:ln>
              <a:prstDash val="solid"/>
            </a:ln>
          </c:spPr>
          <c:invertIfNegative val="1"/>
          <c:cat>
            <c:strRef>
              <c:f>'Sunum Hafta 4'!$K$48:$K$52</c:f>
              <c:strCache>
                <c:ptCount val="5"/>
                <c:pt idx="0">
                  <c:v>0-2000 TL</c:v>
                </c:pt>
                <c:pt idx="1">
                  <c:v>2000-4000 TL</c:v>
                </c:pt>
                <c:pt idx="2">
                  <c:v>4000-6000 TL</c:v>
                </c:pt>
                <c:pt idx="3">
                  <c:v>6000-8000 TL</c:v>
                </c:pt>
                <c:pt idx="4">
                  <c:v>8000+ TL</c:v>
                </c:pt>
              </c:strCache>
            </c:strRef>
          </c:cat>
          <c:val>
            <c:numRef>
              <c:f>'Sunum Hafta 4'!$L$48:$L$52</c:f>
              <c:numCache>
                <c:formatCode>General</c:formatCode>
                <c:ptCount val="5"/>
                <c:pt idx="0">
                  <c:v>2</c:v>
                </c:pt>
                <c:pt idx="1">
                  <c:v>1</c:v>
                </c:pt>
                <c:pt idx="2">
                  <c:v>1</c:v>
                </c:pt>
                <c:pt idx="3">
                  <c:v>1</c:v>
                </c:pt>
                <c:pt idx="4">
                  <c:v>4</c:v>
                </c:pt>
              </c:numCache>
            </c:numRef>
          </c:val>
          <c:extLst>
            <c:ext xmlns:c16="http://schemas.microsoft.com/office/drawing/2014/chart" uri="{C3380CC4-5D6E-409C-BE32-E72D297353CC}">
              <c16:uniqueId val="{00000000-9993-5F46-80C3-E46F0D640E4C}"/>
            </c:ext>
          </c:extLst>
        </c:ser>
        <c:ser>
          <c:idx val="1"/>
          <c:order val="1"/>
          <c:tx>
            <c:strRef>
              <c:f>'Sunum Hafta 4'!$M$47</c:f>
              <c:strCache>
                <c:ptCount val="1"/>
                <c:pt idx="0">
                  <c:v>Harcama (Kişi)</c:v>
                </c:pt>
              </c:strCache>
            </c:strRef>
          </c:tx>
          <c:spPr>
            <a:ln>
              <a:prstDash val="solid"/>
            </a:ln>
          </c:spPr>
          <c:invertIfNegative val="1"/>
          <c:cat>
            <c:strRef>
              <c:f>'Sunum Hafta 4'!$K$48:$K$52</c:f>
              <c:strCache>
                <c:ptCount val="5"/>
                <c:pt idx="0">
                  <c:v>0-2000 TL</c:v>
                </c:pt>
                <c:pt idx="1">
                  <c:v>2000-4000 TL</c:v>
                </c:pt>
                <c:pt idx="2">
                  <c:v>4000-6000 TL</c:v>
                </c:pt>
                <c:pt idx="3">
                  <c:v>6000-8000 TL</c:v>
                </c:pt>
                <c:pt idx="4">
                  <c:v>8000+ TL</c:v>
                </c:pt>
              </c:strCache>
            </c:strRef>
          </c:cat>
          <c:val>
            <c:numRef>
              <c:f>'Sunum Hafta 4'!$M$48:$M$52</c:f>
              <c:numCache>
                <c:formatCode>General</c:formatCode>
                <c:ptCount val="5"/>
                <c:pt idx="0">
                  <c:v>3</c:v>
                </c:pt>
                <c:pt idx="1">
                  <c:v>1</c:v>
                </c:pt>
                <c:pt idx="2">
                  <c:v>2</c:v>
                </c:pt>
                <c:pt idx="3">
                  <c:v>1</c:v>
                </c:pt>
                <c:pt idx="4">
                  <c:v>2</c:v>
                </c:pt>
              </c:numCache>
            </c:numRef>
          </c:val>
          <c:extLst>
            <c:ext xmlns:c16="http://schemas.microsoft.com/office/drawing/2014/chart" uri="{C3380CC4-5D6E-409C-BE32-E72D297353CC}">
              <c16:uniqueId val="{00000001-9993-5F46-80C3-E46F0D640E4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Aralık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Kişi Sayısı</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en-US"/>
              <a:t>Finansal Stres İndeksi (Ort=12)</a:t>
            </a:r>
          </a:p>
        </c:rich>
      </c:tx>
      <c:layout>
        <c:manualLayout>
          <c:xMode val="edge"/>
          <c:yMode val="edge"/>
          <c:x val="0.32990388547110638"/>
          <c:y val="5.7231245166280011E-2"/>
        </c:manualLayout>
      </c:layout>
      <c:overlay val="1"/>
    </c:title>
    <c:autoTitleDeleted val="0"/>
    <c:plotArea>
      <c:layout/>
      <c:lineChart>
        <c:grouping val="standard"/>
        <c:varyColors val="1"/>
        <c:ser>
          <c:idx val="0"/>
          <c:order val="0"/>
          <c:tx>
            <c:strRef>
              <c:f>'Sunum Hafta 4'!$L$55</c:f>
              <c:strCache>
                <c:ptCount val="1"/>
                <c:pt idx="0">
                  <c:v>Stres İndeksi</c:v>
                </c:pt>
              </c:strCache>
            </c:strRef>
          </c:tx>
          <c:spPr>
            <a:ln>
              <a:prstDash val="solid"/>
            </a:ln>
          </c:spPr>
          <c:marker>
            <c:symbol val="none"/>
          </c:marker>
          <c:cat>
            <c:strRef>
              <c:f>'Sunum Hafta 4'!$K$56:$K$64</c:f>
              <c:strCache>
                <c:ptCount val="9"/>
                <c:pt idx="0">
                  <c:v>#1</c:v>
                </c:pt>
                <c:pt idx="1">
                  <c:v>#2</c:v>
                </c:pt>
                <c:pt idx="2">
                  <c:v>#3</c:v>
                </c:pt>
                <c:pt idx="3">
                  <c:v>#4</c:v>
                </c:pt>
                <c:pt idx="4">
                  <c:v>#5</c:v>
                </c:pt>
                <c:pt idx="5">
                  <c:v>#6</c:v>
                </c:pt>
                <c:pt idx="6">
                  <c:v>#7</c:v>
                </c:pt>
                <c:pt idx="7">
                  <c:v>#8</c:v>
                </c:pt>
                <c:pt idx="8">
                  <c:v>#9</c:v>
                </c:pt>
              </c:strCache>
            </c:strRef>
          </c:cat>
          <c:val>
            <c:numRef>
              <c:f>'Sunum Hafta 4'!$L$56:$L$64</c:f>
              <c:numCache>
                <c:formatCode>General</c:formatCode>
                <c:ptCount val="9"/>
                <c:pt idx="0">
                  <c:v>13</c:v>
                </c:pt>
                <c:pt idx="1">
                  <c:v>16</c:v>
                </c:pt>
                <c:pt idx="2">
                  <c:v>8</c:v>
                </c:pt>
                <c:pt idx="3">
                  <c:v>6</c:v>
                </c:pt>
                <c:pt idx="4">
                  <c:v>13</c:v>
                </c:pt>
                <c:pt idx="5">
                  <c:v>9</c:v>
                </c:pt>
                <c:pt idx="6">
                  <c:v>13</c:v>
                </c:pt>
                <c:pt idx="7">
                  <c:v>13</c:v>
                </c:pt>
                <c:pt idx="8">
                  <c:v>17</c:v>
                </c:pt>
              </c:numCache>
            </c:numRef>
          </c:val>
          <c:smooth val="1"/>
          <c:extLst>
            <c:ext xmlns:c16="http://schemas.microsoft.com/office/drawing/2014/chart" uri="{C3380CC4-5D6E-409C-BE32-E72D297353CC}">
              <c16:uniqueId val="{00000000-E3CE-A848-99C4-7CB942FD41CB}"/>
            </c:ext>
          </c:extLst>
        </c:ser>
        <c:ser>
          <c:idx val="1"/>
          <c:order val="1"/>
          <c:tx>
            <c:strRef>
              <c:f>'Sunum Hafta 4'!$M$55</c:f>
              <c:strCache>
                <c:ptCount val="1"/>
                <c:pt idx="0">
                  <c:v>Ortalama (12)</c:v>
                </c:pt>
              </c:strCache>
            </c:strRef>
          </c:tx>
          <c:spPr>
            <a:ln>
              <a:prstDash val="solid"/>
            </a:ln>
          </c:spPr>
          <c:marker>
            <c:symbol val="none"/>
          </c:marker>
          <c:cat>
            <c:strRef>
              <c:f>'Sunum Hafta 4'!$K$56:$K$64</c:f>
              <c:strCache>
                <c:ptCount val="9"/>
                <c:pt idx="0">
                  <c:v>#1</c:v>
                </c:pt>
                <c:pt idx="1">
                  <c:v>#2</c:v>
                </c:pt>
                <c:pt idx="2">
                  <c:v>#3</c:v>
                </c:pt>
                <c:pt idx="3">
                  <c:v>#4</c:v>
                </c:pt>
                <c:pt idx="4">
                  <c:v>#5</c:v>
                </c:pt>
                <c:pt idx="5">
                  <c:v>#6</c:v>
                </c:pt>
                <c:pt idx="6">
                  <c:v>#7</c:v>
                </c:pt>
                <c:pt idx="7">
                  <c:v>#8</c:v>
                </c:pt>
                <c:pt idx="8">
                  <c:v>#9</c:v>
                </c:pt>
              </c:strCache>
            </c:strRef>
          </c:cat>
          <c:val>
            <c:numRef>
              <c:f>'Sunum Hafta 4'!$M$56:$M$64</c:f>
              <c:numCache>
                <c:formatCode>General</c:formatCode>
                <c:ptCount val="9"/>
                <c:pt idx="0">
                  <c:v>12</c:v>
                </c:pt>
                <c:pt idx="1">
                  <c:v>12</c:v>
                </c:pt>
                <c:pt idx="2">
                  <c:v>12</c:v>
                </c:pt>
                <c:pt idx="3">
                  <c:v>12</c:v>
                </c:pt>
                <c:pt idx="4">
                  <c:v>12</c:v>
                </c:pt>
                <c:pt idx="5">
                  <c:v>12</c:v>
                </c:pt>
                <c:pt idx="6">
                  <c:v>12</c:v>
                </c:pt>
                <c:pt idx="7">
                  <c:v>12</c:v>
                </c:pt>
                <c:pt idx="8">
                  <c:v>12</c:v>
                </c:pt>
              </c:numCache>
            </c:numRef>
          </c:val>
          <c:smooth val="1"/>
          <c:extLst>
            <c:ext xmlns:c16="http://schemas.microsoft.com/office/drawing/2014/chart" uri="{C3380CC4-5D6E-409C-BE32-E72D297353CC}">
              <c16:uniqueId val="{00000001-E3CE-A848-99C4-7CB942FD41CB}"/>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Katılımcı</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Stres Skoru (4-20)</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en-US"/>
              <a:t>Gelir – Stres İndeksi Dağılım Grafiği</a:t>
            </a:r>
          </a:p>
        </c:rich>
      </c:tx>
      <c:layout>
        <c:manualLayout>
          <c:xMode val="edge"/>
          <c:yMode val="edge"/>
          <c:x val="0.24166767860756949"/>
          <c:y val="0"/>
        </c:manualLayout>
      </c:layout>
      <c:overlay val="1"/>
    </c:title>
    <c:autoTitleDeleted val="0"/>
    <c:plotArea>
      <c:layout/>
      <c:scatterChart>
        <c:scatterStyle val="lineMarker"/>
        <c:varyColors val="1"/>
        <c:ser>
          <c:idx val="0"/>
          <c:order val="0"/>
          <c:tx>
            <c:v>Katılımcılar</c:v>
          </c:tx>
          <c:spPr>
            <a:ln>
              <a:prstDash val="solid"/>
            </a:ln>
          </c:spPr>
          <c:marker>
            <c:symbol val="none"/>
          </c:marker>
          <c:xVal>
            <c:numRef>
              <c:f>'Sunum Hafta 4'!$K$68:$K$76</c:f>
              <c:numCache>
                <c:formatCode>General</c:formatCode>
                <c:ptCount val="9"/>
                <c:pt idx="0">
                  <c:v>5000</c:v>
                </c:pt>
                <c:pt idx="1">
                  <c:v>1000</c:v>
                </c:pt>
                <c:pt idx="2">
                  <c:v>9000</c:v>
                </c:pt>
                <c:pt idx="3">
                  <c:v>3000</c:v>
                </c:pt>
                <c:pt idx="4">
                  <c:v>1000</c:v>
                </c:pt>
                <c:pt idx="5">
                  <c:v>9000</c:v>
                </c:pt>
                <c:pt idx="6">
                  <c:v>9000</c:v>
                </c:pt>
                <c:pt idx="7">
                  <c:v>7000</c:v>
                </c:pt>
                <c:pt idx="8">
                  <c:v>9000</c:v>
                </c:pt>
              </c:numCache>
            </c:numRef>
          </c:xVal>
          <c:yVal>
            <c:numRef>
              <c:f>'Sunum Hafta 4'!$L$68:$L$76</c:f>
              <c:numCache>
                <c:formatCode>General</c:formatCode>
                <c:ptCount val="9"/>
                <c:pt idx="0">
                  <c:v>13</c:v>
                </c:pt>
                <c:pt idx="1">
                  <c:v>16</c:v>
                </c:pt>
                <c:pt idx="2">
                  <c:v>8</c:v>
                </c:pt>
                <c:pt idx="3">
                  <c:v>6</c:v>
                </c:pt>
                <c:pt idx="4">
                  <c:v>13</c:v>
                </c:pt>
                <c:pt idx="5">
                  <c:v>9</c:v>
                </c:pt>
                <c:pt idx="6">
                  <c:v>13</c:v>
                </c:pt>
                <c:pt idx="7">
                  <c:v>13</c:v>
                </c:pt>
                <c:pt idx="8">
                  <c:v>17</c:v>
                </c:pt>
              </c:numCache>
            </c:numRef>
          </c:yVal>
          <c:smooth val="1"/>
          <c:extLst>
            <c:ext xmlns:c16="http://schemas.microsoft.com/office/drawing/2014/chart" uri="{C3380CC4-5D6E-409C-BE32-E72D297353CC}">
              <c16:uniqueId val="{00000000-7369-774D-9F7A-F867271D88A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US"/>
                  <a:t>Aylık Gelir (TL)</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Stres İndeksi</a:t>
                </a:r>
              </a:p>
            </c:rich>
          </c:tx>
          <c:overlay val="1"/>
        </c:title>
        <c:numFmt formatCode="General"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tr-TR"/>
              <a:t>Harcama Alanı Dağılımı</a:t>
            </a:r>
          </a:p>
        </c:rich>
      </c:tx>
      <c:overlay val="1"/>
    </c:title>
    <c:autoTitleDeleted val="0"/>
    <c:plotArea>
      <c:layout/>
      <c:barChart>
        <c:barDir val="col"/>
        <c:grouping val="clustered"/>
        <c:varyColors val="1"/>
        <c:ser>
          <c:idx val="0"/>
          <c:order val="0"/>
          <c:spPr>
            <a:solidFill>
              <a:srgbClr val="2E75B6"/>
            </a:solidFill>
            <a:ln>
              <a:prstDash val="solid"/>
            </a:ln>
          </c:spPr>
          <c:invertIfNegative val="1"/>
          <c:val>
            <c:numRef>
              <c:f>'[1]1-Ham Veri (Kavramsal)'!#REF!</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E5A-9841-B671-680DF26D9CB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tr-TR"/>
                  <a:t>Alan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tr-TR"/>
                  <a:t>Öğrenci Sayısı</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tr-TR"/>
              <a:t>Finansal Risk Dağılımı</a:t>
            </a:r>
          </a:p>
        </c:rich>
      </c:tx>
      <c:overlay val="1"/>
    </c:title>
    <c:autoTitleDeleted val="0"/>
    <c:plotArea>
      <c:layout/>
      <c:pieChart>
        <c:varyColors val="1"/>
        <c:ser>
          <c:idx val="0"/>
          <c:order val="0"/>
          <c:spPr>
            <a:ln>
              <a:prstDash val="solid"/>
            </a:ln>
          </c:spPr>
          <c:dPt>
            <c:idx val="0"/>
            <c:bubble3D val="0"/>
            <c:spPr>
              <a:solidFill>
                <a:srgbClr val="F1948A"/>
              </a:solidFill>
              <a:ln>
                <a:prstDash val="solid"/>
              </a:ln>
            </c:spPr>
            <c:extLst>
              <c:ext xmlns:c16="http://schemas.microsoft.com/office/drawing/2014/chart" uri="{C3380CC4-5D6E-409C-BE32-E72D297353CC}">
                <c16:uniqueId val="{00000001-9922-3949-BF1F-2090B3E17BDB}"/>
              </c:ext>
            </c:extLst>
          </c:dPt>
          <c:dPt>
            <c:idx val="1"/>
            <c:bubble3D val="0"/>
            <c:spPr>
              <a:solidFill>
                <a:srgbClr val="F9E79F"/>
              </a:solidFill>
              <a:ln>
                <a:prstDash val="solid"/>
              </a:ln>
            </c:spPr>
            <c:extLst>
              <c:ext xmlns:c16="http://schemas.microsoft.com/office/drawing/2014/chart" uri="{C3380CC4-5D6E-409C-BE32-E72D297353CC}">
                <c16:uniqueId val="{00000003-9922-3949-BF1F-2090B3E17BDB}"/>
              </c:ext>
            </c:extLst>
          </c:dPt>
          <c:dPt>
            <c:idx val="2"/>
            <c:bubble3D val="0"/>
            <c:spPr>
              <a:solidFill>
                <a:srgbClr val="A9DFBF"/>
              </a:solidFill>
              <a:ln>
                <a:prstDash val="solid"/>
              </a:ln>
            </c:spPr>
            <c:extLst>
              <c:ext xmlns:c16="http://schemas.microsoft.com/office/drawing/2014/chart" uri="{C3380CC4-5D6E-409C-BE32-E72D297353CC}">
                <c16:uniqueId val="{00000005-9922-3949-BF1F-2090B3E17BDB}"/>
              </c:ext>
            </c:extLst>
          </c:dPt>
          <c:val>
            <c:numRef>
              <c:f>'[1]1-Ham Veri (Kavramsal)'!#REF!</c:f>
              <c:numCache>
                <c:formatCode>General</c:formatCode>
                <c:ptCount val="1"/>
                <c:pt idx="0">
                  <c:v>1</c:v>
                </c:pt>
              </c:numCache>
            </c:numRef>
          </c:val>
          <c:extLst>
            <c:ext xmlns:c16="http://schemas.microsoft.com/office/drawing/2014/chart" uri="{C3380CC4-5D6E-409C-BE32-E72D297353CC}">
              <c16:uniqueId val="{00000006-9922-3949-BF1F-2090B3E17BDB}"/>
            </c:ext>
          </c:extLst>
        </c:ser>
        <c:dLbls>
          <c:showLegendKey val="0"/>
          <c:showVal val="0"/>
          <c:showCatName val="0"/>
          <c:showSerName val="0"/>
          <c:showPercent val="0"/>
          <c:showBubbleSize val="0"/>
          <c:showLeaderLines val="1"/>
        </c:dLbls>
        <c:firstSliceAng val="0"/>
      </c:pieChart>
    </c:plotArea>
    <c:legend>
      <c:legendPos val="r"/>
      <c:overlay val="1"/>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c:style val="2"/>
  <c:chart>
    <c:title>
      <c:tx>
        <c:rich>
          <a:bodyPr/>
          <a:lstStyle/>
          <a:p>
            <a:pPr>
              <a:defRPr/>
            </a:pPr>
            <a:r>
              <a:rPr lang="tr-TR"/>
              <a:t>Gelir vs Harcama (TL)</a:t>
            </a:r>
          </a:p>
        </c:rich>
      </c:tx>
      <c:overlay val="1"/>
    </c:title>
    <c:autoTitleDeleted val="0"/>
    <c:plotArea>
      <c:layout/>
      <c:barChart>
        <c:barDir val="col"/>
        <c:grouping val="clustered"/>
        <c:varyColors val="1"/>
        <c:ser>
          <c:idx val="0"/>
          <c:order val="0"/>
          <c:spPr>
            <a:solidFill>
              <a:srgbClr val="2E75B6"/>
            </a:solidFill>
            <a:ln>
              <a:prstDash val="solid"/>
            </a:ln>
          </c:spPr>
          <c:invertIfNegative val="1"/>
          <c:val>
            <c:numRef>
              <c:f>'[1]1-Ham Veri (Kavramsal)'!#REF!</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059-C845-A723-DCF9F68CD329}"/>
            </c:ext>
          </c:extLst>
        </c:ser>
        <c:ser>
          <c:idx val="1"/>
          <c:order val="1"/>
          <c:spPr>
            <a:solidFill>
              <a:srgbClr val="E74C3C"/>
            </a:solidFill>
            <a:ln>
              <a:prstDash val="solid"/>
            </a:ln>
          </c:spPr>
          <c:invertIfNegative val="1"/>
          <c:val>
            <c:numRef>
              <c:f>'[1]1-Ham Veri (Kavramsal)'!#REF!</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059-C845-A723-DCF9F68CD32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tr-TR"/>
                  <a:t>Öğrenci</a:t>
                </a:r>
              </a:p>
            </c:rich>
          </c:tx>
          <c:layout>
            <c:manualLayout>
              <c:xMode val="edge"/>
              <c:yMode val="edge"/>
              <c:x val="0.47359051747240161"/>
              <c:y val="0.95345396485184275"/>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tr-TR"/>
                  <a:t>TL</a:t>
                </a:r>
              </a:p>
            </c:rich>
          </c:tx>
          <c:overlay val="1"/>
        </c:title>
        <c:numFmt formatCode="General" sourceLinked="1"/>
        <c:majorTickMark val="none"/>
        <c:minorTickMark val="none"/>
        <c:tickLblPos val="nextTo"/>
        <c:crossAx val="10"/>
        <c:crosses val="autoZero"/>
        <c:crossBetween val="between"/>
      </c:valAx>
    </c:plotArea>
    <c:legend>
      <c:legendPos val="r"/>
      <c:layout>
        <c:manualLayout>
          <c:xMode val="edge"/>
          <c:yMode val="edge"/>
          <c:x val="0.38081448690870251"/>
          <c:y val="0.1155942378600162"/>
          <c:w val="0.30508362659189431"/>
          <c:h val="9.7501388888888887E-2"/>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12</xdr:col>
      <xdr:colOff>438150</xdr:colOff>
      <xdr:row>39</xdr:row>
      <xdr:rowOff>142875</xdr:rowOff>
    </xdr:from>
    <xdr:ext cx="4152900" cy="2209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342900</xdr:colOff>
      <xdr:row>46</xdr:row>
      <xdr:rowOff>95250</xdr:rowOff>
    </xdr:from>
    <xdr:ext cx="5760000" cy="396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13</xdr:col>
      <xdr:colOff>333375</xdr:colOff>
      <xdr:row>54</xdr:row>
      <xdr:rowOff>466725</xdr:rowOff>
    </xdr:from>
    <xdr:ext cx="5400675" cy="4105275"/>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219075</xdr:colOff>
      <xdr:row>66</xdr:row>
      <xdr:rowOff>95250</xdr:rowOff>
    </xdr:from>
    <xdr:ext cx="5229225" cy="2828925"/>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312972</xdr:colOff>
      <xdr:row>8</xdr:row>
      <xdr:rowOff>281711</xdr:rowOff>
    </xdr:from>
    <xdr:to>
      <xdr:col>15</xdr:col>
      <xdr:colOff>481856</xdr:colOff>
      <xdr:row>13</xdr:row>
      <xdr:rowOff>203467</xdr:rowOff>
    </xdr:to>
    <xdr:pic>
      <xdr:nvPicPr>
        <xdr:cNvPr id="2" name="Resim 1" descr="Formlar yanıt grafiği. Soru başlığı: 14.Finansal durumum beni stresli hissettirir.. Yanıt sayısı: 9 yanı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2331183" y="6952553"/>
          <a:ext cx="4206148" cy="1820072"/>
        </a:xfrm>
        <a:prstGeom prst="rect">
          <a:avLst/>
        </a:prstGeom>
        <a:noFill/>
        <a:ln>
          <a:prstDash val="solid"/>
        </a:ln>
      </xdr:spPr>
    </xdr:pic>
    <xdr:clientData/>
  </xdr:twoCellAnchor>
  <xdr:twoCellAnchor editAs="oneCell">
    <xdr:from>
      <xdr:col>11</xdr:col>
      <xdr:colOff>232916</xdr:colOff>
      <xdr:row>18</xdr:row>
      <xdr:rowOff>104037</xdr:rowOff>
    </xdr:from>
    <xdr:to>
      <xdr:col>17</xdr:col>
      <xdr:colOff>419269</xdr:colOff>
      <xdr:row>22</xdr:row>
      <xdr:rowOff>14705</xdr:rowOff>
    </xdr:to>
    <xdr:pic>
      <xdr:nvPicPr>
        <xdr:cNvPr id="3" name="Resim 2" descr="Formlar yanıt grafiği. Soru başlığı: 6.En çok harcama yaptığınız alan hangisidir?. Yanıt sayısı: 9 yanıt.">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stretch>
          <a:fillRect/>
        </a:stretch>
      </xdr:blipFill>
      <xdr:spPr bwMode="auto">
        <a:xfrm>
          <a:off x="13587969" y="9288142"/>
          <a:ext cx="4223617" cy="1608458"/>
        </a:xfrm>
        <a:prstGeom prst="rect">
          <a:avLst/>
        </a:prstGeom>
        <a:noFill/>
        <a:ln>
          <a:prstDash val="solid"/>
        </a:ln>
      </xdr:spPr>
    </xdr:pic>
    <xdr:clientData/>
  </xdr:twoCellAnchor>
  <xdr:twoCellAnchor editAs="oneCell">
    <xdr:from>
      <xdr:col>9</xdr:col>
      <xdr:colOff>654072</xdr:colOff>
      <xdr:row>39</xdr:row>
      <xdr:rowOff>883563</xdr:rowOff>
    </xdr:from>
    <xdr:to>
      <xdr:col>21</xdr:col>
      <xdr:colOff>623059</xdr:colOff>
      <xdr:row>47</xdr:row>
      <xdr:rowOff>65553</xdr:rowOff>
    </xdr:to>
    <xdr:pic>
      <xdr:nvPicPr>
        <xdr:cNvPr id="4" name="Resi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5259072" y="24621357"/>
          <a:ext cx="8055899" cy="6353755"/>
        </a:xfrm>
        <a:prstGeom prst="rect">
          <a:avLst/>
        </a:prstGeom>
        <a:ln>
          <a:prstDash val="solid"/>
        </a:ln>
      </xdr:spPr>
    </xdr:pic>
    <xdr:clientData/>
  </xdr:twoCellAnchor>
  <xdr:twoCellAnchor editAs="oneCell">
    <xdr:from>
      <xdr:col>10</xdr:col>
      <xdr:colOff>373</xdr:colOff>
      <xdr:row>49</xdr:row>
      <xdr:rowOff>376</xdr:rowOff>
    </xdr:from>
    <xdr:to>
      <xdr:col>21</xdr:col>
      <xdr:colOff>653676</xdr:colOff>
      <xdr:row>55</xdr:row>
      <xdr:rowOff>679904</xdr:rowOff>
    </xdr:to>
    <xdr:pic>
      <xdr:nvPicPr>
        <xdr:cNvPr id="5" name="Resim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5277726" y="32702876"/>
          <a:ext cx="8067862" cy="6338499"/>
        </a:xfrm>
        <a:prstGeom prst="rect">
          <a:avLst/>
        </a:prstGeom>
        <a:ln>
          <a:prstDash val="solid"/>
        </a:ln>
      </xdr:spPr>
    </xdr:pic>
    <xdr:clientData/>
  </xdr:twoCellAnchor>
  <xdr:twoCellAnchor editAs="oneCell">
    <xdr:from>
      <xdr:col>0</xdr:col>
      <xdr:colOff>37353</xdr:colOff>
      <xdr:row>40</xdr:row>
      <xdr:rowOff>544296</xdr:rowOff>
    </xdr:from>
    <xdr:to>
      <xdr:col>4</xdr:col>
      <xdr:colOff>677</xdr:colOff>
      <xdr:row>51</xdr:row>
      <xdr:rowOff>504266</xdr:rowOff>
    </xdr:to>
    <xdr:pic>
      <xdr:nvPicPr>
        <xdr:cNvPr id="6" name="Resim 5">
          <a:extLst>
            <a:ext uri="{FF2B5EF4-FFF2-40B4-BE49-F238E27FC236}">
              <a16:creationId xmlns:a16="http://schemas.microsoft.com/office/drawing/2014/main" id="{2BD21329-3488-4CF2-B94F-A21FE27EA431}"/>
            </a:ext>
          </a:extLst>
        </xdr:cNvPr>
        <xdr:cNvPicPr>
          <a:picLocks noChangeAspect="1"/>
        </xdr:cNvPicPr>
      </xdr:nvPicPr>
      <xdr:blipFill>
        <a:blip xmlns:r="http://schemas.openxmlformats.org/officeDocument/2006/relationships" r:embed="rId5"/>
        <a:stretch>
          <a:fillRect/>
        </a:stretch>
      </xdr:blipFill>
      <xdr:spPr>
        <a:xfrm>
          <a:off x="37353" y="25178561"/>
          <a:ext cx="11206559" cy="9821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13759</xdr:colOff>
      <xdr:row>55</xdr:row>
      <xdr:rowOff>83607</xdr:rowOff>
    </xdr:from>
    <xdr:to>
      <xdr:col>4</xdr:col>
      <xdr:colOff>815134</xdr:colOff>
      <xdr:row>82</xdr:row>
      <xdr:rowOff>31632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941917</xdr:colOff>
      <xdr:row>55</xdr:row>
      <xdr:rowOff>79375</xdr:rowOff>
    </xdr:from>
    <xdr:to>
      <xdr:col>15</xdr:col>
      <xdr:colOff>219292</xdr:colOff>
      <xdr:row>82</xdr:row>
      <xdr:rowOff>27400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88</xdr:row>
      <xdr:rowOff>0</xdr:rowOff>
    </xdr:from>
    <xdr:to>
      <xdr:col>8</xdr:col>
      <xdr:colOff>523875</xdr:colOff>
      <xdr:row>104</xdr:row>
      <xdr:rowOff>123825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10">
  <tableColumns count="16">
    <tableColumn id="1" xr3:uid="{00000000-0010-0000-0000-000001000000}" name="Zaman damgası"/>
    <tableColumn id="2" xr3:uid="{00000000-0010-0000-0000-000002000000}" name="E-posta Adresi"/>
    <tableColumn id="3" xr3:uid="{00000000-0010-0000-0000-000003000000}" name="1.Yaşınız kaçtır?"/>
    <tableColumn id="4" xr3:uid="{00000000-0010-0000-0000-000004000000}" name="2.Cinsiyetiniz nedir?"/>
    <tableColumn id="5" xr3:uid="{00000000-0010-0000-0000-000005000000}" name="3.Hangi bölümde okuyorsunuz?"/>
    <tableColumn id="6" xr3:uid="{00000000-0010-0000-0000-000006000000}" name="4.Aylık ortalama geliriniz ne kadardır?"/>
    <tableColumn id="7" xr3:uid="{00000000-0010-0000-0000-000007000000}" name="5.Aylık ortalama harcamanız ne kadardır?"/>
    <tableColumn id="8" xr3:uid="{00000000-0010-0000-0000-000008000000}" name="6.En çok harcama yaptığınız alan hangisidir?"/>
    <tableColumn id="9" xr3:uid="{00000000-0010-0000-0000-000009000000}" name="7.Aylık harcamalarınızı takip ediyor musunuz?"/>
    <tableColumn id="10" xr3:uid="{00000000-0010-0000-0000-00000A000000}" name="8.Aylık bütçe planı yapıyor musunuz?"/>
    <tableColumn id="11" xr3:uid="{00000000-0010-0000-0000-00000B000000}" name="9.Düzenli olarak tasarruf yapıyor musunuz?"/>
    <tableColumn id="12" xr3:uid="{00000000-0010-0000-0000-00000C000000}" name="10.Harcamalarınız nedeniyle finansal stres yaşıyor musunuz?"/>
    <tableColumn id="13" xr3:uid="{00000000-0010-0000-0000-00000D000000}" name="11.Ay sonunu getirmekte zorlanıyorum."/>
    <tableColumn id="14" xr3:uid="{00000000-0010-0000-0000-00000E000000}" name="12.Harcamalarımı kontrol etmekte zorlanıyorum."/>
    <tableColumn id="15" xr3:uid="{00000000-0010-0000-0000-00000F000000}" name="13.Beklenmedik bir gider çıktığında zorlanırım."/>
    <tableColumn id="16" xr3:uid="{00000000-0010-0000-0000-000010000000}" name="14.Finansal durumum beni stresli hissettirir."/>
  </tableColumns>
  <tableStyleInfo name="Form Yanıtları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
  <sheetViews>
    <sheetView workbookViewId="0">
      <pane ySplit="1" topLeftCell="A2" activePane="bottomLeft" state="frozen"/>
      <selection pane="bottomLeft" activeCell="I40" sqref="I40"/>
    </sheetView>
  </sheetViews>
  <sheetFormatPr baseColWidth="10" defaultColWidth="12.5" defaultRowHeight="15.75" customHeight="1" x14ac:dyDescent="0.15"/>
  <cols>
    <col min="1" max="3" width="18.83203125" customWidth="1"/>
    <col min="4" max="4" width="19.6640625" customWidth="1"/>
    <col min="5" max="5" width="28.1640625" customWidth="1"/>
    <col min="6" max="6" width="32.5" customWidth="1"/>
    <col min="7" max="7" width="35.33203125" customWidth="1"/>
    <col min="8" max="9" width="37.5" customWidth="1"/>
    <col min="10" max="10" width="32" customWidth="1"/>
    <col min="11" max="11" width="36.5" customWidth="1"/>
    <col min="12" max="12" width="37.5" customWidth="1"/>
    <col min="13" max="13" width="33.5" customWidth="1"/>
    <col min="14" max="15" width="37.5" customWidth="1"/>
    <col min="16" max="16" width="37" customWidth="1"/>
    <col min="17" max="22" width="18.83203125" customWidth="1"/>
  </cols>
  <sheetData>
    <row r="1" spans="1:1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2.5" customHeight="1" x14ac:dyDescent="0.15">
      <c r="A2" s="2">
        <v>46086.898862037036</v>
      </c>
      <c r="B2" s="3" t="s">
        <v>16</v>
      </c>
      <c r="C2" s="3">
        <v>22</v>
      </c>
      <c r="D2" s="3" t="s">
        <v>17</v>
      </c>
      <c r="E2" s="3" t="s">
        <v>18</v>
      </c>
      <c r="F2" s="3" t="s">
        <v>19</v>
      </c>
      <c r="G2" s="3" t="s">
        <v>19</v>
      </c>
      <c r="H2" s="3" t="s">
        <v>20</v>
      </c>
      <c r="I2" s="3" t="s">
        <v>21</v>
      </c>
      <c r="J2" s="3" t="s">
        <v>22</v>
      </c>
      <c r="K2" s="3" t="s">
        <v>23</v>
      </c>
      <c r="L2" s="3" t="s">
        <v>24</v>
      </c>
      <c r="M2" s="3">
        <v>3</v>
      </c>
      <c r="N2" s="3">
        <v>2</v>
      </c>
      <c r="O2" s="3">
        <v>3</v>
      </c>
      <c r="P2" s="3">
        <v>5</v>
      </c>
    </row>
    <row r="3" spans="1:16" ht="22.5" customHeight="1" x14ac:dyDescent="0.15">
      <c r="A3" s="2">
        <v>46086.905395833332</v>
      </c>
      <c r="B3" s="3" t="s">
        <v>25</v>
      </c>
      <c r="C3" s="3">
        <v>23</v>
      </c>
      <c r="D3" s="3" t="s">
        <v>17</v>
      </c>
      <c r="E3" s="3" t="s">
        <v>26</v>
      </c>
      <c r="F3" s="3" t="s">
        <v>27</v>
      </c>
      <c r="G3" s="3" t="s">
        <v>27</v>
      </c>
      <c r="H3" s="3" t="s">
        <v>20</v>
      </c>
      <c r="I3" s="3" t="s">
        <v>28</v>
      </c>
      <c r="J3" s="3" t="s">
        <v>29</v>
      </c>
      <c r="K3" s="3" t="s">
        <v>22</v>
      </c>
      <c r="L3" s="3" t="s">
        <v>24</v>
      </c>
      <c r="M3" s="3">
        <v>5</v>
      </c>
      <c r="N3" s="3">
        <v>1</v>
      </c>
      <c r="O3" s="3">
        <v>5</v>
      </c>
      <c r="P3" s="3">
        <v>5</v>
      </c>
    </row>
    <row r="4" spans="1:16" ht="22.5" customHeight="1" x14ac:dyDescent="0.15">
      <c r="A4" s="2">
        <v>46086.906900300928</v>
      </c>
      <c r="B4" s="3" t="s">
        <v>30</v>
      </c>
      <c r="C4" s="3">
        <v>24</v>
      </c>
      <c r="D4" s="3" t="s">
        <v>17</v>
      </c>
      <c r="E4" s="3" t="s">
        <v>31</v>
      </c>
      <c r="F4" s="3" t="s">
        <v>32</v>
      </c>
      <c r="G4" s="3" t="s">
        <v>33</v>
      </c>
      <c r="H4" s="3" t="s">
        <v>20</v>
      </c>
      <c r="I4" s="3" t="s">
        <v>21</v>
      </c>
      <c r="J4" s="3" t="s">
        <v>22</v>
      </c>
      <c r="K4" s="3" t="s">
        <v>22</v>
      </c>
      <c r="L4" s="3" t="s">
        <v>24</v>
      </c>
      <c r="M4" s="3">
        <v>1</v>
      </c>
      <c r="N4" s="3">
        <v>1</v>
      </c>
      <c r="O4" s="3">
        <v>5</v>
      </c>
      <c r="P4" s="3">
        <v>1</v>
      </c>
    </row>
    <row r="5" spans="1:16" ht="22.5" customHeight="1" x14ac:dyDescent="0.15">
      <c r="A5" s="2">
        <v>46086.910030856481</v>
      </c>
      <c r="B5" s="3" t="s">
        <v>34</v>
      </c>
      <c r="C5" s="3">
        <v>19</v>
      </c>
      <c r="D5" s="3" t="s">
        <v>17</v>
      </c>
      <c r="E5" s="3" t="s">
        <v>35</v>
      </c>
      <c r="F5" s="3" t="s">
        <v>36</v>
      </c>
      <c r="G5" s="3" t="s">
        <v>27</v>
      </c>
      <c r="H5" s="3" t="s">
        <v>37</v>
      </c>
      <c r="I5" s="3" t="s">
        <v>21</v>
      </c>
      <c r="J5" s="3" t="s">
        <v>23</v>
      </c>
      <c r="K5" s="3" t="s">
        <v>22</v>
      </c>
      <c r="L5" s="3" t="s">
        <v>38</v>
      </c>
      <c r="M5" s="3">
        <v>1</v>
      </c>
      <c r="N5" s="3">
        <v>1</v>
      </c>
      <c r="O5" s="3">
        <v>2</v>
      </c>
      <c r="P5" s="3">
        <v>2</v>
      </c>
    </row>
    <row r="6" spans="1:16" ht="22.5" customHeight="1" x14ac:dyDescent="0.15">
      <c r="A6" s="2">
        <v>46086.910151793978</v>
      </c>
      <c r="B6" s="3" t="s">
        <v>39</v>
      </c>
      <c r="C6" s="3">
        <v>23</v>
      </c>
      <c r="D6" s="3" t="s">
        <v>17</v>
      </c>
      <c r="E6" s="3" t="s">
        <v>40</v>
      </c>
      <c r="F6" s="3" t="s">
        <v>27</v>
      </c>
      <c r="G6" s="3" t="s">
        <v>27</v>
      </c>
      <c r="H6" s="3" t="s">
        <v>20</v>
      </c>
      <c r="I6" s="3" t="s">
        <v>41</v>
      </c>
      <c r="J6" s="3" t="s">
        <v>23</v>
      </c>
      <c r="K6" s="3" t="s">
        <v>22</v>
      </c>
      <c r="L6" s="3" t="s">
        <v>38</v>
      </c>
      <c r="M6" s="3">
        <v>3</v>
      </c>
      <c r="N6" s="3">
        <v>3</v>
      </c>
      <c r="O6" s="3">
        <v>4</v>
      </c>
      <c r="P6" s="3">
        <v>3</v>
      </c>
    </row>
    <row r="7" spans="1:16" ht="22.5" customHeight="1" x14ac:dyDescent="0.15">
      <c r="A7" s="2">
        <v>46086.910949826393</v>
      </c>
      <c r="B7" s="3" t="s">
        <v>42</v>
      </c>
      <c r="C7" s="3">
        <v>20</v>
      </c>
      <c r="D7" s="3" t="s">
        <v>43</v>
      </c>
      <c r="E7" s="3" t="s">
        <v>44</v>
      </c>
      <c r="F7" s="3" t="s">
        <v>32</v>
      </c>
      <c r="G7" s="3" t="s">
        <v>19</v>
      </c>
      <c r="H7" s="3" t="s">
        <v>37</v>
      </c>
      <c r="I7" s="3" t="s">
        <v>21</v>
      </c>
      <c r="J7" s="3" t="s">
        <v>22</v>
      </c>
      <c r="K7" s="3" t="s">
        <v>22</v>
      </c>
      <c r="L7" s="3" t="s">
        <v>23</v>
      </c>
      <c r="M7" s="3">
        <v>2</v>
      </c>
      <c r="N7" s="3">
        <v>2</v>
      </c>
      <c r="O7" s="3">
        <v>1</v>
      </c>
      <c r="P7" s="3">
        <v>4</v>
      </c>
    </row>
    <row r="8" spans="1:16" ht="22.5" customHeight="1" x14ac:dyDescent="0.15">
      <c r="A8" s="2">
        <v>46086.911116226853</v>
      </c>
      <c r="B8" s="3" t="s">
        <v>45</v>
      </c>
      <c r="C8" s="3">
        <v>19</v>
      </c>
      <c r="D8" s="3" t="s">
        <v>43</v>
      </c>
      <c r="E8" s="3" t="s">
        <v>46</v>
      </c>
      <c r="F8" s="3" t="s">
        <v>32</v>
      </c>
      <c r="G8" s="3" t="s">
        <v>32</v>
      </c>
      <c r="H8" s="3" t="s">
        <v>20</v>
      </c>
      <c r="I8" s="3" t="s">
        <v>41</v>
      </c>
      <c r="J8" s="3" t="s">
        <v>23</v>
      </c>
      <c r="K8" s="3" t="s">
        <v>23</v>
      </c>
      <c r="L8" s="3" t="s">
        <v>24</v>
      </c>
      <c r="M8" s="3">
        <v>3</v>
      </c>
      <c r="N8" s="3">
        <v>2</v>
      </c>
      <c r="O8" s="3">
        <v>4</v>
      </c>
      <c r="P8" s="3">
        <v>4</v>
      </c>
    </row>
    <row r="9" spans="1:16" ht="22.5" customHeight="1" x14ac:dyDescent="0.15">
      <c r="A9" s="2">
        <v>46086.943374074071</v>
      </c>
      <c r="B9" s="3" t="s">
        <v>47</v>
      </c>
      <c r="C9" s="3">
        <v>25</v>
      </c>
      <c r="D9" s="3" t="s">
        <v>43</v>
      </c>
      <c r="E9" s="3" t="s">
        <v>48</v>
      </c>
      <c r="F9" s="3" t="s">
        <v>33</v>
      </c>
      <c r="G9" s="3" t="s">
        <v>33</v>
      </c>
      <c r="H9" s="3" t="s">
        <v>49</v>
      </c>
      <c r="I9" s="3" t="s">
        <v>21</v>
      </c>
      <c r="J9" s="3" t="s">
        <v>22</v>
      </c>
      <c r="K9" s="3" t="s">
        <v>23</v>
      </c>
      <c r="L9" s="3" t="s">
        <v>23</v>
      </c>
      <c r="M9" s="3">
        <v>3</v>
      </c>
      <c r="N9" s="3">
        <v>2</v>
      </c>
      <c r="O9" s="3">
        <v>3</v>
      </c>
      <c r="P9" s="3">
        <v>5</v>
      </c>
    </row>
    <row r="10" spans="1:16" ht="22.5" customHeight="1" x14ac:dyDescent="0.15">
      <c r="A10" s="2">
        <v>46091.666964849537</v>
      </c>
      <c r="B10" s="3" t="s">
        <v>50</v>
      </c>
      <c r="C10" s="3">
        <v>23</v>
      </c>
      <c r="D10" s="3" t="s">
        <v>17</v>
      </c>
      <c r="E10" s="3" t="s">
        <v>51</v>
      </c>
      <c r="F10" s="3" t="s">
        <v>32</v>
      </c>
      <c r="G10" s="3" t="s">
        <v>32</v>
      </c>
      <c r="H10" s="3" t="s">
        <v>37</v>
      </c>
      <c r="I10" s="3" t="s">
        <v>21</v>
      </c>
      <c r="J10" s="3" t="s">
        <v>23</v>
      </c>
      <c r="K10" s="3" t="s">
        <v>23</v>
      </c>
      <c r="L10" s="3" t="s">
        <v>24</v>
      </c>
      <c r="M10" s="3">
        <v>5</v>
      </c>
      <c r="N10" s="3">
        <v>3</v>
      </c>
      <c r="O10" s="3">
        <v>4</v>
      </c>
      <c r="P10" s="3">
        <v>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7"/>
  <sheetViews>
    <sheetView topLeftCell="H28" workbookViewId="0">
      <selection activeCell="F58" sqref="F58"/>
    </sheetView>
  </sheetViews>
  <sheetFormatPr baseColWidth="10" defaultColWidth="8.83203125" defaultRowHeight="12.75" customHeight="1" x14ac:dyDescent="0.15"/>
  <cols>
    <col min="1" max="1" width="24" customWidth="1"/>
    <col min="2" max="5" width="32" customWidth="1"/>
    <col min="6" max="6" width="16.5" customWidth="1"/>
    <col min="7" max="7" width="11.5" customWidth="1"/>
    <col min="8" max="8" width="13" customWidth="1"/>
    <col min="9" max="10" width="16.5" customWidth="1"/>
    <col min="11" max="11" width="21.5" customWidth="1"/>
    <col min="12" max="12" width="27.5" customWidth="1"/>
    <col min="13" max="13" width="16.33203125" customWidth="1"/>
    <col min="14" max="14" width="39.6640625" customWidth="1"/>
    <col min="15" max="15" width="47.5" customWidth="1"/>
  </cols>
  <sheetData>
    <row r="1" spans="1:15" ht="8" customHeight="1" x14ac:dyDescent="0.15"/>
    <row r="2" spans="1:15" ht="38" customHeight="1" x14ac:dyDescent="0.15">
      <c r="A2" s="147" t="s">
        <v>52</v>
      </c>
      <c r="B2" s="107"/>
      <c r="C2" s="107"/>
      <c r="D2" s="107"/>
      <c r="E2" s="108"/>
      <c r="K2" s="161" t="s">
        <v>53</v>
      </c>
      <c r="L2" s="107"/>
      <c r="M2" s="107"/>
      <c r="N2" s="107"/>
      <c r="O2" s="108"/>
    </row>
    <row r="3" spans="1:15" ht="22" customHeight="1" x14ac:dyDescent="0.15">
      <c r="A3" s="136" t="s">
        <v>54</v>
      </c>
      <c r="B3" s="133"/>
      <c r="C3" s="133"/>
      <c r="D3" s="133"/>
      <c r="E3" s="133"/>
    </row>
    <row r="4" spans="1:15" ht="24.75" customHeight="1" x14ac:dyDescent="0.15">
      <c r="K4" s="153" t="s">
        <v>55</v>
      </c>
      <c r="L4" s="133"/>
      <c r="M4" s="133"/>
      <c r="N4" s="133"/>
      <c r="O4" s="133"/>
    </row>
    <row r="5" spans="1:15" ht="30" customHeight="1" x14ac:dyDescent="0.15">
      <c r="A5" s="106" t="s">
        <v>56</v>
      </c>
      <c r="B5" s="107"/>
      <c r="C5" s="107"/>
      <c r="D5" s="107"/>
      <c r="E5" s="108"/>
      <c r="K5" s="132" t="s">
        <v>57</v>
      </c>
      <c r="L5" s="133"/>
      <c r="M5" s="133"/>
      <c r="N5" s="133"/>
      <c r="O5" s="133"/>
    </row>
    <row r="6" spans="1:15" ht="24" customHeight="1" x14ac:dyDescent="0.15">
      <c r="A6" s="4" t="s">
        <v>58</v>
      </c>
      <c r="B6" s="4" t="s">
        <v>59</v>
      </c>
      <c r="C6" s="109" t="s">
        <v>60</v>
      </c>
      <c r="D6" s="110"/>
      <c r="E6" s="4" t="s">
        <v>61</v>
      </c>
      <c r="K6" s="14" t="s">
        <v>62</v>
      </c>
      <c r="L6" s="140" t="s">
        <v>63</v>
      </c>
      <c r="M6" s="133"/>
      <c r="N6" s="133"/>
      <c r="O6" s="133"/>
    </row>
    <row r="7" spans="1:15" ht="50" customHeight="1" x14ac:dyDescent="0.15">
      <c r="A7" s="15" t="s">
        <v>64</v>
      </c>
      <c r="B7" s="5" t="s">
        <v>65</v>
      </c>
      <c r="C7" s="146" t="s">
        <v>66</v>
      </c>
      <c r="D7" s="110"/>
      <c r="E7" s="5" t="s">
        <v>67</v>
      </c>
      <c r="K7" s="17" t="s">
        <v>68</v>
      </c>
      <c r="L7" s="144" t="s">
        <v>69</v>
      </c>
      <c r="M7" s="133"/>
      <c r="N7" s="133"/>
      <c r="O7" s="133"/>
    </row>
    <row r="8" spans="1:15" ht="50" customHeight="1" x14ac:dyDescent="0.15">
      <c r="A8" s="17" t="s">
        <v>70</v>
      </c>
      <c r="B8" s="6" t="s">
        <v>71</v>
      </c>
      <c r="C8" s="123" t="s">
        <v>72</v>
      </c>
      <c r="D8" s="110"/>
      <c r="E8" s="6" t="s">
        <v>73</v>
      </c>
      <c r="K8" s="18" t="s">
        <v>74</v>
      </c>
      <c r="L8" s="150" t="s">
        <v>75</v>
      </c>
      <c r="M8" s="133"/>
      <c r="N8" s="133"/>
      <c r="O8" s="133"/>
    </row>
    <row r="9" spans="1:15" ht="50" customHeight="1" x14ac:dyDescent="0.15">
      <c r="A9" s="14" t="s">
        <v>76</v>
      </c>
      <c r="B9" s="8" t="s">
        <v>77</v>
      </c>
      <c r="C9" s="160" t="s">
        <v>78</v>
      </c>
      <c r="D9" s="110"/>
      <c r="E9" s="8" t="s">
        <v>79</v>
      </c>
      <c r="K9" s="15" t="s">
        <v>80</v>
      </c>
      <c r="L9" s="155" t="s">
        <v>81</v>
      </c>
      <c r="M9" s="133"/>
      <c r="N9" s="133"/>
      <c r="O9" s="133"/>
    </row>
    <row r="10" spans="1:15" ht="50" customHeight="1" x14ac:dyDescent="0.15">
      <c r="A10" s="19" t="s">
        <v>82</v>
      </c>
      <c r="B10" s="9" t="s">
        <v>83</v>
      </c>
      <c r="C10" s="129" t="s">
        <v>84</v>
      </c>
      <c r="D10" s="110"/>
      <c r="E10" s="9" t="s">
        <v>85</v>
      </c>
      <c r="K10" s="19" t="s">
        <v>86</v>
      </c>
      <c r="L10" s="152" t="s">
        <v>87</v>
      </c>
      <c r="M10" s="104"/>
      <c r="N10" s="104"/>
      <c r="O10" s="105"/>
    </row>
    <row r="11" spans="1:15" ht="69.75" customHeight="1" x14ac:dyDescent="0.15">
      <c r="A11" s="20" t="s">
        <v>88</v>
      </c>
      <c r="B11" s="10" t="s">
        <v>89</v>
      </c>
      <c r="C11" s="158" t="s">
        <v>90</v>
      </c>
      <c r="D11" s="110"/>
      <c r="E11" s="10" t="s">
        <v>91</v>
      </c>
    </row>
    <row r="12" spans="1:15" ht="10" customHeight="1" x14ac:dyDescent="0.15">
      <c r="K12" s="103" t="s">
        <v>92</v>
      </c>
      <c r="L12" s="104"/>
      <c r="M12" s="104"/>
      <c r="N12" s="104"/>
      <c r="O12" s="105"/>
    </row>
    <row r="13" spans="1:15" ht="30" customHeight="1" x14ac:dyDescent="0.15">
      <c r="A13" s="106" t="s">
        <v>93</v>
      </c>
      <c r="B13" s="107"/>
      <c r="C13" s="107"/>
      <c r="D13" s="107"/>
      <c r="E13" s="108"/>
      <c r="K13" s="28" t="s">
        <v>94</v>
      </c>
      <c r="L13" s="28" t="s">
        <v>95</v>
      </c>
      <c r="M13" s="28" t="s">
        <v>96</v>
      </c>
      <c r="N13" s="28" t="s">
        <v>97</v>
      </c>
      <c r="O13" s="28" t="s">
        <v>98</v>
      </c>
    </row>
    <row r="14" spans="1:15" ht="24" customHeight="1" x14ac:dyDescent="0.15">
      <c r="A14" s="4" t="s">
        <v>99</v>
      </c>
      <c r="B14" s="4" t="s">
        <v>100</v>
      </c>
      <c r="C14" s="109" t="s">
        <v>101</v>
      </c>
      <c r="D14" s="110"/>
      <c r="E14" s="4" t="s">
        <v>102</v>
      </c>
      <c r="K14" s="13" t="s">
        <v>103</v>
      </c>
      <c r="L14" s="21" t="s">
        <v>104</v>
      </c>
      <c r="M14" s="21" t="s">
        <v>105</v>
      </c>
      <c r="N14" s="21" t="s">
        <v>106</v>
      </c>
      <c r="O14" s="30" t="s">
        <v>107</v>
      </c>
    </row>
    <row r="15" spans="1:15" ht="48" customHeight="1" x14ac:dyDescent="0.15">
      <c r="A15" s="13" t="s">
        <v>108</v>
      </c>
      <c r="B15" s="11" t="s">
        <v>109</v>
      </c>
      <c r="C15" s="116" t="s">
        <v>110</v>
      </c>
      <c r="D15" s="110"/>
      <c r="E15" s="11" t="s">
        <v>111</v>
      </c>
      <c r="K15" s="20" t="s">
        <v>112</v>
      </c>
      <c r="L15" s="25" t="s">
        <v>113</v>
      </c>
      <c r="M15" s="25" t="s">
        <v>114</v>
      </c>
      <c r="N15" s="25" t="s">
        <v>115</v>
      </c>
      <c r="O15" s="29" t="s">
        <v>116</v>
      </c>
    </row>
    <row r="16" spans="1:15" ht="48" customHeight="1" x14ac:dyDescent="0.15">
      <c r="A16" s="20" t="s">
        <v>117</v>
      </c>
      <c r="B16" s="10" t="s">
        <v>118</v>
      </c>
      <c r="C16" s="158" t="s">
        <v>119</v>
      </c>
      <c r="D16" s="110"/>
      <c r="E16" s="10" t="s">
        <v>120</v>
      </c>
      <c r="K16" s="13" t="s">
        <v>121</v>
      </c>
      <c r="L16" s="21" t="s">
        <v>122</v>
      </c>
      <c r="M16" s="21" t="s">
        <v>123</v>
      </c>
      <c r="N16" s="21" t="s">
        <v>124</v>
      </c>
      <c r="O16" s="7" t="s">
        <v>125</v>
      </c>
    </row>
    <row r="17" spans="1:15" ht="48" customHeight="1" x14ac:dyDescent="0.15">
      <c r="A17" s="19" t="s">
        <v>126</v>
      </c>
      <c r="B17" s="9" t="s">
        <v>127</v>
      </c>
      <c r="C17" s="127" t="s">
        <v>128</v>
      </c>
      <c r="D17" s="110"/>
      <c r="E17" s="9" t="s">
        <v>129</v>
      </c>
      <c r="K17" s="20" t="s">
        <v>130</v>
      </c>
      <c r="L17" s="25" t="s">
        <v>131</v>
      </c>
      <c r="M17" s="25" t="s">
        <v>132</v>
      </c>
      <c r="N17" s="25" t="s">
        <v>133</v>
      </c>
      <c r="O17" s="7" t="s">
        <v>134</v>
      </c>
    </row>
    <row r="18" spans="1:15" ht="48" customHeight="1" x14ac:dyDescent="0.15">
      <c r="A18" s="14" t="s">
        <v>135</v>
      </c>
      <c r="B18" s="8" t="s">
        <v>136</v>
      </c>
      <c r="C18" s="139" t="s">
        <v>137</v>
      </c>
      <c r="D18" s="110"/>
      <c r="E18" s="8" t="s">
        <v>138</v>
      </c>
      <c r="K18" s="13" t="s">
        <v>139</v>
      </c>
      <c r="L18" s="21" t="s">
        <v>113</v>
      </c>
      <c r="M18" s="21" t="s">
        <v>114</v>
      </c>
      <c r="N18" s="21" t="s">
        <v>140</v>
      </c>
      <c r="O18" s="30" t="s">
        <v>141</v>
      </c>
    </row>
    <row r="19" spans="1:15" ht="48" customHeight="1" x14ac:dyDescent="0.15">
      <c r="A19" s="17" t="s">
        <v>142</v>
      </c>
      <c r="B19" s="6" t="s">
        <v>143</v>
      </c>
      <c r="C19" s="123" t="s">
        <v>144</v>
      </c>
      <c r="D19" s="110"/>
      <c r="E19" s="6" t="s">
        <v>145</v>
      </c>
      <c r="K19" s="20" t="s">
        <v>146</v>
      </c>
      <c r="L19" s="25" t="s">
        <v>147</v>
      </c>
      <c r="M19" s="25" t="s">
        <v>148</v>
      </c>
      <c r="N19" s="25" t="s">
        <v>124</v>
      </c>
      <c r="O19" s="30" t="s">
        <v>149</v>
      </c>
    </row>
    <row r="20" spans="1:15" ht="48" customHeight="1" x14ac:dyDescent="0.15">
      <c r="A20" s="18" t="s">
        <v>150</v>
      </c>
      <c r="B20" s="12" t="s">
        <v>151</v>
      </c>
      <c r="C20" s="141" t="s">
        <v>152</v>
      </c>
      <c r="D20" s="110"/>
      <c r="E20" s="12" t="s">
        <v>153</v>
      </c>
      <c r="K20" s="13" t="s">
        <v>154</v>
      </c>
      <c r="L20" s="21" t="s">
        <v>155</v>
      </c>
      <c r="M20" s="21" t="s">
        <v>156</v>
      </c>
      <c r="N20" s="21" t="s">
        <v>157</v>
      </c>
      <c r="O20" s="30" t="s">
        <v>158</v>
      </c>
    </row>
    <row r="21" spans="1:15" ht="48" customHeight="1" x14ac:dyDescent="0.15">
      <c r="A21" s="15" t="s">
        <v>159</v>
      </c>
      <c r="B21" s="5" t="s">
        <v>160</v>
      </c>
      <c r="C21" s="146" t="s">
        <v>161</v>
      </c>
      <c r="D21" s="110"/>
      <c r="E21" s="5" t="s">
        <v>162</v>
      </c>
      <c r="K21" s="20" t="s">
        <v>163</v>
      </c>
      <c r="L21" s="25" t="s">
        <v>164</v>
      </c>
      <c r="M21" s="25" t="s">
        <v>165</v>
      </c>
      <c r="N21" s="25" t="s">
        <v>106</v>
      </c>
      <c r="O21" s="30" t="s">
        <v>107</v>
      </c>
    </row>
    <row r="22" spans="1:15" ht="48" customHeight="1" x14ac:dyDescent="0.15">
      <c r="A22" s="38" t="s">
        <v>166</v>
      </c>
      <c r="B22" s="16" t="s">
        <v>167</v>
      </c>
      <c r="C22" s="143" t="s">
        <v>168</v>
      </c>
      <c r="D22" s="110"/>
      <c r="E22" s="16" t="s">
        <v>169</v>
      </c>
      <c r="K22" s="13" t="s">
        <v>170</v>
      </c>
      <c r="L22" s="21" t="s">
        <v>113</v>
      </c>
      <c r="M22" s="21" t="s">
        <v>156</v>
      </c>
      <c r="N22" s="21" t="s">
        <v>171</v>
      </c>
      <c r="O22" s="29" t="s">
        <v>172</v>
      </c>
    </row>
    <row r="23" spans="1:15" ht="10" customHeight="1" x14ac:dyDescent="0.15"/>
    <row r="24" spans="1:15" ht="30" customHeight="1" x14ac:dyDescent="0.15">
      <c r="A24" s="106" t="s">
        <v>173</v>
      </c>
      <c r="B24" s="107"/>
      <c r="C24" s="107"/>
      <c r="D24" s="107"/>
      <c r="E24" s="108"/>
      <c r="K24" s="106" t="s">
        <v>174</v>
      </c>
      <c r="L24" s="107"/>
      <c r="M24" s="107"/>
      <c r="N24" s="107"/>
      <c r="O24" s="108"/>
    </row>
    <row r="25" spans="1:15" ht="24" customHeight="1" x14ac:dyDescent="0.15">
      <c r="A25" s="4" t="s">
        <v>175</v>
      </c>
      <c r="B25" s="4" t="s">
        <v>176</v>
      </c>
      <c r="C25" s="109" t="s">
        <v>177</v>
      </c>
      <c r="D25" s="110"/>
      <c r="E25" s="4" t="s">
        <v>178</v>
      </c>
      <c r="K25" s="103" t="s">
        <v>179</v>
      </c>
      <c r="L25" s="104"/>
      <c r="M25" s="104"/>
      <c r="N25" s="104"/>
      <c r="O25" s="105"/>
    </row>
    <row r="26" spans="1:15" ht="60" customHeight="1" x14ac:dyDescent="0.15">
      <c r="A26" s="15" t="s">
        <v>180</v>
      </c>
      <c r="B26" s="5" t="s">
        <v>181</v>
      </c>
      <c r="C26" s="146" t="s">
        <v>182</v>
      </c>
      <c r="D26" s="110"/>
      <c r="E26" s="5" t="s">
        <v>183</v>
      </c>
      <c r="K26" s="28" t="s">
        <v>184</v>
      </c>
      <c r="L26" s="28" t="s">
        <v>185</v>
      </c>
      <c r="M26" s="28" t="s">
        <v>186</v>
      </c>
      <c r="N26" s="28" t="s">
        <v>187</v>
      </c>
      <c r="O26" s="28" t="s">
        <v>188</v>
      </c>
    </row>
    <row r="27" spans="1:15" ht="60" customHeight="1" x14ac:dyDescent="0.15">
      <c r="A27" s="17" t="s">
        <v>189</v>
      </c>
      <c r="B27" s="6" t="s">
        <v>190</v>
      </c>
      <c r="C27" s="123" t="s">
        <v>191</v>
      </c>
      <c r="D27" s="110"/>
      <c r="E27" s="6" t="s">
        <v>192</v>
      </c>
      <c r="K27" s="13" t="s">
        <v>193</v>
      </c>
      <c r="L27" s="21">
        <v>5888.9</v>
      </c>
      <c r="M27" s="21">
        <v>7000</v>
      </c>
      <c r="N27" s="21">
        <v>1000</v>
      </c>
      <c r="O27" s="11" t="s">
        <v>194</v>
      </c>
    </row>
    <row r="28" spans="1:15" ht="60" customHeight="1" x14ac:dyDescent="0.15">
      <c r="A28" s="19" t="s">
        <v>195</v>
      </c>
      <c r="B28" s="9" t="s">
        <v>196</v>
      </c>
      <c r="C28" s="129" t="s">
        <v>197</v>
      </c>
      <c r="D28" s="110"/>
      <c r="E28" s="9" t="s">
        <v>198</v>
      </c>
      <c r="K28" s="20" t="s">
        <v>199</v>
      </c>
      <c r="L28" s="25">
        <v>5000</v>
      </c>
      <c r="M28" s="25">
        <v>5000</v>
      </c>
      <c r="N28" s="25">
        <v>1000</v>
      </c>
      <c r="O28" s="10" t="s">
        <v>200</v>
      </c>
    </row>
    <row r="29" spans="1:15" ht="38.25" customHeight="1" x14ac:dyDescent="0.15">
      <c r="K29" s="14" t="s">
        <v>201</v>
      </c>
      <c r="L29" s="22">
        <v>22</v>
      </c>
      <c r="M29" s="22">
        <v>23</v>
      </c>
      <c r="N29" s="22">
        <v>19</v>
      </c>
      <c r="O29" s="8" t="s">
        <v>202</v>
      </c>
    </row>
    <row r="30" spans="1:15" ht="30" customHeight="1" x14ac:dyDescent="0.15">
      <c r="A30" s="106" t="s">
        <v>203</v>
      </c>
      <c r="B30" s="107"/>
      <c r="C30" s="107"/>
      <c r="D30" s="107"/>
      <c r="E30" s="108"/>
      <c r="K30" s="18" t="s">
        <v>74</v>
      </c>
      <c r="L30" s="24">
        <v>12</v>
      </c>
      <c r="M30" s="24">
        <v>13</v>
      </c>
      <c r="N30" s="24">
        <v>6</v>
      </c>
      <c r="O30" s="12" t="s">
        <v>204</v>
      </c>
    </row>
    <row r="31" spans="1:15" ht="24" customHeight="1" x14ac:dyDescent="0.15">
      <c r="A31" s="103" t="s">
        <v>205</v>
      </c>
      <c r="B31" s="104"/>
      <c r="C31" s="104"/>
      <c r="D31" s="104"/>
      <c r="E31" s="105"/>
    </row>
    <row r="32" spans="1:15" ht="44" customHeight="1" x14ac:dyDescent="0.15">
      <c r="A32" s="13" t="s">
        <v>206</v>
      </c>
      <c r="B32" s="130" t="s">
        <v>207</v>
      </c>
      <c r="C32" s="104"/>
      <c r="D32" s="104"/>
      <c r="E32" s="105"/>
      <c r="K32" s="103" t="s">
        <v>208</v>
      </c>
      <c r="L32" s="104"/>
      <c r="M32" s="104"/>
      <c r="N32" s="104"/>
      <c r="O32" s="105"/>
    </row>
    <row r="33" spans="1:15" ht="44" customHeight="1" x14ac:dyDescent="0.15">
      <c r="A33" s="14" t="s">
        <v>209</v>
      </c>
      <c r="B33" s="131" t="s">
        <v>210</v>
      </c>
      <c r="C33" s="104"/>
      <c r="D33" s="104"/>
      <c r="E33" s="105"/>
      <c r="K33" s="4" t="s">
        <v>184</v>
      </c>
      <c r="L33" s="4" t="s">
        <v>211</v>
      </c>
      <c r="M33" s="4" t="s">
        <v>212</v>
      </c>
      <c r="N33" s="4" t="s">
        <v>213</v>
      </c>
      <c r="O33" s="4" t="s">
        <v>214</v>
      </c>
    </row>
    <row r="34" spans="1:15" ht="44" customHeight="1" x14ac:dyDescent="0.15">
      <c r="A34" s="17" t="s">
        <v>215</v>
      </c>
      <c r="B34" s="151" t="s">
        <v>216</v>
      </c>
      <c r="C34" s="104"/>
      <c r="D34" s="104"/>
      <c r="E34" s="105"/>
      <c r="K34" s="13" t="s">
        <v>217</v>
      </c>
      <c r="L34" s="21" t="s">
        <v>218</v>
      </c>
      <c r="M34" s="21" t="s">
        <v>219</v>
      </c>
      <c r="N34" s="21" t="s">
        <v>219</v>
      </c>
      <c r="O34" s="39" t="s">
        <v>220</v>
      </c>
    </row>
    <row r="35" spans="1:15" ht="44" customHeight="1" x14ac:dyDescent="0.15">
      <c r="A35" s="18" t="s">
        <v>221</v>
      </c>
      <c r="B35" s="134" t="s">
        <v>222</v>
      </c>
      <c r="C35" s="104"/>
      <c r="D35" s="104"/>
      <c r="E35" s="105"/>
      <c r="K35" s="20" t="s">
        <v>223</v>
      </c>
      <c r="L35" s="25" t="s">
        <v>224</v>
      </c>
      <c r="M35" s="25" t="s">
        <v>225</v>
      </c>
      <c r="N35" s="25" t="s">
        <v>219</v>
      </c>
      <c r="O35" s="41" t="s">
        <v>226</v>
      </c>
    </row>
    <row r="36" spans="1:15" ht="44" customHeight="1" x14ac:dyDescent="0.15">
      <c r="A36" s="15" t="s">
        <v>227</v>
      </c>
      <c r="B36" s="120" t="s">
        <v>228</v>
      </c>
      <c r="C36" s="104"/>
      <c r="D36" s="104"/>
      <c r="E36" s="105"/>
      <c r="K36" s="14" t="s">
        <v>229</v>
      </c>
      <c r="L36" s="22" t="s">
        <v>218</v>
      </c>
      <c r="M36" s="22" t="s">
        <v>225</v>
      </c>
      <c r="N36" s="22" t="s">
        <v>230</v>
      </c>
      <c r="O36" s="42" t="s">
        <v>231</v>
      </c>
    </row>
    <row r="37" spans="1:15" ht="29.25" customHeight="1" x14ac:dyDescent="0.15">
      <c r="K37" s="18" t="s">
        <v>232</v>
      </c>
      <c r="L37" s="24" t="s">
        <v>233</v>
      </c>
      <c r="M37" s="24" t="s">
        <v>234</v>
      </c>
      <c r="N37" s="24" t="s">
        <v>235</v>
      </c>
      <c r="O37" s="44" t="s">
        <v>236</v>
      </c>
    </row>
    <row r="38" spans="1:15" ht="30" customHeight="1" x14ac:dyDescent="0.15">
      <c r="A38" s="106" t="s">
        <v>237</v>
      </c>
      <c r="B38" s="107"/>
      <c r="C38" s="107"/>
      <c r="D38" s="107"/>
      <c r="E38" s="108"/>
    </row>
    <row r="39" spans="1:15" ht="24" customHeight="1" x14ac:dyDescent="0.15">
      <c r="A39" s="103" t="s">
        <v>238</v>
      </c>
      <c r="B39" s="104"/>
      <c r="C39" s="104"/>
      <c r="D39" s="104"/>
      <c r="E39" s="105"/>
      <c r="K39" s="106" t="s">
        <v>239</v>
      </c>
      <c r="L39" s="107"/>
      <c r="M39" s="107"/>
      <c r="N39" s="107"/>
      <c r="O39" s="108"/>
    </row>
    <row r="40" spans="1:15" ht="40" customHeight="1" x14ac:dyDescent="0.15">
      <c r="A40" s="13" t="s">
        <v>240</v>
      </c>
      <c r="B40" s="130" t="s">
        <v>241</v>
      </c>
      <c r="C40" s="104"/>
      <c r="D40" s="104"/>
      <c r="E40" s="105"/>
      <c r="K40" s="114" t="s">
        <v>242</v>
      </c>
      <c r="L40" s="115"/>
    </row>
    <row r="41" spans="1:15" ht="40" customHeight="1" x14ac:dyDescent="0.15">
      <c r="A41" s="20" t="s">
        <v>243</v>
      </c>
      <c r="B41" s="135" t="s">
        <v>244</v>
      </c>
      <c r="C41" s="104"/>
      <c r="D41" s="104"/>
      <c r="E41" s="105"/>
      <c r="K41" s="4" t="s">
        <v>245</v>
      </c>
      <c r="L41" s="4" t="s">
        <v>246</v>
      </c>
    </row>
    <row r="42" spans="1:15" ht="40" customHeight="1" x14ac:dyDescent="0.15">
      <c r="A42" s="14" t="s">
        <v>247</v>
      </c>
      <c r="B42" s="131" t="s">
        <v>248</v>
      </c>
      <c r="C42" s="104"/>
      <c r="D42" s="104"/>
      <c r="E42" s="105"/>
      <c r="K42" s="23" t="s">
        <v>20</v>
      </c>
      <c r="L42" s="23">
        <v>5</v>
      </c>
    </row>
    <row r="43" spans="1:15" ht="40" customHeight="1" x14ac:dyDescent="0.15">
      <c r="A43" s="18" t="s">
        <v>249</v>
      </c>
      <c r="B43" s="134" t="s">
        <v>250</v>
      </c>
      <c r="C43" s="104"/>
      <c r="D43" s="104"/>
      <c r="E43" s="105"/>
      <c r="K43" s="25" t="s">
        <v>37</v>
      </c>
      <c r="L43" s="25">
        <v>3</v>
      </c>
    </row>
    <row r="44" spans="1:15" ht="29.25" customHeight="1" x14ac:dyDescent="0.15">
      <c r="K44" s="26" t="s">
        <v>49</v>
      </c>
      <c r="L44" s="26">
        <v>1</v>
      </c>
    </row>
    <row r="45" spans="1:15" ht="30" customHeight="1" x14ac:dyDescent="0.15">
      <c r="A45" s="106" t="s">
        <v>251</v>
      </c>
      <c r="B45" s="107"/>
      <c r="C45" s="107"/>
      <c r="D45" s="107"/>
      <c r="E45" s="108"/>
    </row>
    <row r="46" spans="1:15" ht="24" customHeight="1" x14ac:dyDescent="0.15">
      <c r="A46" s="4" t="s">
        <v>252</v>
      </c>
      <c r="B46" s="4" t="s">
        <v>253</v>
      </c>
      <c r="C46" s="4" t="s">
        <v>254</v>
      </c>
      <c r="D46" s="156" t="s">
        <v>255</v>
      </c>
      <c r="E46" s="115"/>
      <c r="K46" s="114" t="s">
        <v>256</v>
      </c>
      <c r="L46" s="115"/>
      <c r="M46" s="115"/>
    </row>
    <row r="47" spans="1:15" ht="67.5" customHeight="1" x14ac:dyDescent="0.15">
      <c r="A47" s="15" t="s">
        <v>257</v>
      </c>
      <c r="B47" s="5" t="s">
        <v>258</v>
      </c>
      <c r="C47" s="5" t="s">
        <v>259</v>
      </c>
      <c r="D47" s="137" t="s">
        <v>260</v>
      </c>
      <c r="E47" s="105"/>
      <c r="K47" s="4" t="s">
        <v>261</v>
      </c>
      <c r="L47" s="4" t="s">
        <v>262</v>
      </c>
      <c r="M47" s="4" t="s">
        <v>263</v>
      </c>
    </row>
    <row r="48" spans="1:15" ht="67.5" customHeight="1" x14ac:dyDescent="0.15">
      <c r="A48" s="17" t="s">
        <v>264</v>
      </c>
      <c r="B48" s="6" t="s">
        <v>265</v>
      </c>
      <c r="C48" s="6" t="s">
        <v>266</v>
      </c>
      <c r="D48" s="122" t="s">
        <v>267</v>
      </c>
      <c r="E48" s="105"/>
      <c r="K48" s="21" t="s">
        <v>268</v>
      </c>
      <c r="L48" s="25">
        <v>2</v>
      </c>
      <c r="M48" s="22">
        <v>3</v>
      </c>
    </row>
    <row r="49" spans="1:15" ht="67.5" customHeight="1" x14ac:dyDescent="0.15">
      <c r="A49" s="14" t="s">
        <v>269</v>
      </c>
      <c r="B49" s="8" t="s">
        <v>270</v>
      </c>
      <c r="C49" s="8" t="s">
        <v>271</v>
      </c>
      <c r="D49" s="142" t="s">
        <v>272</v>
      </c>
      <c r="E49" s="105"/>
      <c r="K49" s="21" t="s">
        <v>273</v>
      </c>
      <c r="L49" s="25">
        <v>1</v>
      </c>
      <c r="M49" s="22">
        <v>1</v>
      </c>
    </row>
    <row r="50" spans="1:15" ht="67.5" customHeight="1" x14ac:dyDescent="0.15">
      <c r="A50" s="19" t="s">
        <v>274</v>
      </c>
      <c r="B50" s="9" t="s">
        <v>275</v>
      </c>
      <c r="C50" s="9" t="s">
        <v>276</v>
      </c>
      <c r="D50" s="118" t="s">
        <v>277</v>
      </c>
      <c r="E50" s="105"/>
      <c r="K50" s="21" t="s">
        <v>278</v>
      </c>
      <c r="L50" s="25">
        <v>1</v>
      </c>
      <c r="M50" s="22">
        <v>2</v>
      </c>
    </row>
    <row r="51" spans="1:15" ht="67.5" customHeight="1" x14ac:dyDescent="0.15">
      <c r="A51" s="18" t="s">
        <v>279</v>
      </c>
      <c r="B51" s="12" t="s">
        <v>280</v>
      </c>
      <c r="C51" s="12" t="s">
        <v>281</v>
      </c>
      <c r="D51" s="128" t="s">
        <v>282</v>
      </c>
      <c r="E51" s="105"/>
      <c r="K51" s="21" t="s">
        <v>283</v>
      </c>
      <c r="L51" s="25">
        <v>1</v>
      </c>
      <c r="M51" s="22">
        <v>1</v>
      </c>
    </row>
    <row r="52" spans="1:15" ht="10" customHeight="1" x14ac:dyDescent="0.15">
      <c r="K52" s="21" t="s">
        <v>284</v>
      </c>
      <c r="L52" s="25">
        <v>4</v>
      </c>
      <c r="M52" s="22">
        <v>2</v>
      </c>
    </row>
    <row r="53" spans="1:15" ht="30" customHeight="1" x14ac:dyDescent="0.15">
      <c r="A53" s="106" t="s">
        <v>285</v>
      </c>
      <c r="B53" s="107"/>
      <c r="C53" s="107"/>
      <c r="D53" s="107"/>
      <c r="E53" s="108"/>
    </row>
    <row r="54" spans="1:15" ht="24" customHeight="1" x14ac:dyDescent="0.15">
      <c r="A54" s="4" t="s">
        <v>286</v>
      </c>
      <c r="B54" s="4" t="s">
        <v>287</v>
      </c>
      <c r="C54" s="121" t="s">
        <v>254</v>
      </c>
      <c r="D54" s="105"/>
      <c r="E54" s="4" t="s">
        <v>288</v>
      </c>
      <c r="K54" s="103" t="s">
        <v>289</v>
      </c>
      <c r="L54" s="104"/>
      <c r="M54" s="104"/>
      <c r="N54" s="104"/>
      <c r="O54" s="105"/>
    </row>
    <row r="55" spans="1:15" ht="52" customHeight="1" x14ac:dyDescent="0.15">
      <c r="A55" s="20" t="s">
        <v>290</v>
      </c>
      <c r="B55" s="10" t="s">
        <v>291</v>
      </c>
      <c r="C55" s="159" t="s">
        <v>292</v>
      </c>
      <c r="D55" s="105"/>
      <c r="E55" s="10" t="s">
        <v>293</v>
      </c>
      <c r="K55" s="4" t="s">
        <v>294</v>
      </c>
      <c r="L55" s="4" t="s">
        <v>74</v>
      </c>
      <c r="M55" s="4" t="s">
        <v>295</v>
      </c>
    </row>
    <row r="56" spans="1:15" ht="52" customHeight="1" x14ac:dyDescent="0.15">
      <c r="A56" s="19" t="s">
        <v>296</v>
      </c>
      <c r="B56" s="9" t="s">
        <v>297</v>
      </c>
      <c r="C56" s="118" t="s">
        <v>298</v>
      </c>
      <c r="D56" s="105"/>
      <c r="E56" s="9" t="s">
        <v>299</v>
      </c>
      <c r="F56" s="192" t="s">
        <v>504</v>
      </c>
      <c r="K56" s="21" t="s">
        <v>300</v>
      </c>
      <c r="L56" s="23">
        <v>13</v>
      </c>
      <c r="M56" s="25">
        <v>12</v>
      </c>
    </row>
    <row r="57" spans="1:15" ht="52" customHeight="1" x14ac:dyDescent="0.15">
      <c r="A57" s="17" t="s">
        <v>301</v>
      </c>
      <c r="B57" s="6" t="s">
        <v>302</v>
      </c>
      <c r="C57" s="122" t="s">
        <v>303</v>
      </c>
      <c r="D57" s="105"/>
      <c r="E57" s="6" t="s">
        <v>304</v>
      </c>
      <c r="K57" s="21" t="s">
        <v>305</v>
      </c>
      <c r="L57" s="27">
        <v>16</v>
      </c>
      <c r="M57" s="25">
        <v>12</v>
      </c>
    </row>
    <row r="58" spans="1:15" ht="52" customHeight="1" x14ac:dyDescent="0.15">
      <c r="A58" s="18" t="s">
        <v>306</v>
      </c>
      <c r="B58" s="12" t="s">
        <v>307</v>
      </c>
      <c r="C58" s="128" t="s">
        <v>308</v>
      </c>
      <c r="D58" s="105"/>
      <c r="E58" s="12" t="s">
        <v>309</v>
      </c>
      <c r="K58" s="21" t="s">
        <v>310</v>
      </c>
      <c r="L58" s="22">
        <v>8</v>
      </c>
      <c r="M58" s="25">
        <v>12</v>
      </c>
    </row>
    <row r="59" spans="1:15" ht="24" customHeight="1" x14ac:dyDescent="0.15">
      <c r="K59" s="21" t="s">
        <v>311</v>
      </c>
      <c r="L59" s="22">
        <v>6</v>
      </c>
      <c r="M59" s="25">
        <v>12</v>
      </c>
    </row>
    <row r="60" spans="1:15" ht="30" customHeight="1" x14ac:dyDescent="0.15">
      <c r="A60" s="106" t="s">
        <v>312</v>
      </c>
      <c r="B60" s="107"/>
      <c r="C60" s="107"/>
      <c r="D60" s="107"/>
      <c r="E60" s="108"/>
      <c r="K60" s="21" t="s">
        <v>313</v>
      </c>
      <c r="L60" s="23">
        <v>13</v>
      </c>
      <c r="M60" s="25">
        <v>12</v>
      </c>
    </row>
    <row r="61" spans="1:15" ht="24" customHeight="1" x14ac:dyDescent="0.15">
      <c r="A61" s="103" t="s">
        <v>314</v>
      </c>
      <c r="B61" s="104"/>
      <c r="C61" s="104"/>
      <c r="D61" s="104"/>
      <c r="E61" s="105"/>
      <c r="K61" s="21" t="s">
        <v>315</v>
      </c>
      <c r="L61" s="23">
        <v>9</v>
      </c>
      <c r="M61" s="25">
        <v>12</v>
      </c>
    </row>
    <row r="62" spans="1:15" ht="44" customHeight="1" x14ac:dyDescent="0.15">
      <c r="A62" s="14" t="s">
        <v>316</v>
      </c>
      <c r="B62" s="131" t="s">
        <v>317</v>
      </c>
      <c r="C62" s="104"/>
      <c r="D62" s="104"/>
      <c r="E62" s="105"/>
      <c r="K62" s="21" t="s">
        <v>318</v>
      </c>
      <c r="L62" s="23">
        <v>13</v>
      </c>
      <c r="M62" s="25">
        <v>12</v>
      </c>
    </row>
    <row r="63" spans="1:15" ht="44" customHeight="1" x14ac:dyDescent="0.15">
      <c r="A63" s="18" t="s">
        <v>319</v>
      </c>
      <c r="B63" s="134" t="s">
        <v>320</v>
      </c>
      <c r="C63" s="104"/>
      <c r="D63" s="104"/>
      <c r="E63" s="105"/>
      <c r="K63" s="21" t="s">
        <v>321</v>
      </c>
      <c r="L63" s="23">
        <v>13</v>
      </c>
      <c r="M63" s="25">
        <v>12</v>
      </c>
    </row>
    <row r="64" spans="1:15" ht="44" customHeight="1" x14ac:dyDescent="0.15">
      <c r="A64" s="13" t="s">
        <v>322</v>
      </c>
      <c r="B64" s="130" t="s">
        <v>323</v>
      </c>
      <c r="C64" s="104"/>
      <c r="D64" s="104"/>
      <c r="E64" s="105"/>
      <c r="K64" s="21" t="s">
        <v>324</v>
      </c>
      <c r="L64" s="27">
        <v>17</v>
      </c>
      <c r="M64" s="25">
        <v>12</v>
      </c>
    </row>
    <row r="65" spans="1:15" ht="44" customHeight="1" x14ac:dyDescent="0.15">
      <c r="A65" s="82" t="s">
        <v>325</v>
      </c>
      <c r="B65" s="111" t="s">
        <v>326</v>
      </c>
      <c r="C65" s="112"/>
      <c r="D65" s="112"/>
      <c r="E65" s="113"/>
    </row>
    <row r="66" spans="1:15" ht="25.5" customHeight="1" x14ac:dyDescent="0.15">
      <c r="A66" s="83"/>
      <c r="B66" s="85"/>
      <c r="C66" s="84"/>
      <c r="K66" s="132" t="s">
        <v>327</v>
      </c>
      <c r="L66" s="133"/>
      <c r="M66" s="133"/>
      <c r="N66" s="133"/>
    </row>
    <row r="67" spans="1:15" ht="22.5" customHeight="1" x14ac:dyDescent="0.15">
      <c r="K67" s="4" t="s">
        <v>328</v>
      </c>
      <c r="L67" s="4" t="s">
        <v>74</v>
      </c>
    </row>
    <row r="68" spans="1:15" ht="22.5" customHeight="1" x14ac:dyDescent="0.15">
      <c r="K68" s="21">
        <v>5000</v>
      </c>
      <c r="L68" s="24">
        <v>13</v>
      </c>
    </row>
    <row r="69" spans="1:15" ht="32" customHeight="1" x14ac:dyDescent="0.15">
      <c r="K69" s="21">
        <v>1000</v>
      </c>
      <c r="L69" s="24">
        <v>16</v>
      </c>
    </row>
    <row r="70" spans="1:15" ht="21" customHeight="1" x14ac:dyDescent="0.15">
      <c r="K70" s="21">
        <v>9000</v>
      </c>
      <c r="L70" s="24">
        <v>8</v>
      </c>
    </row>
    <row r="71" spans="1:15" ht="30" customHeight="1" x14ac:dyDescent="0.15">
      <c r="K71" s="21">
        <v>3000</v>
      </c>
      <c r="L71" s="24">
        <v>6</v>
      </c>
    </row>
    <row r="72" spans="1:15" ht="24" customHeight="1" x14ac:dyDescent="0.15">
      <c r="K72" s="21">
        <v>1000</v>
      </c>
      <c r="L72" s="24">
        <v>13</v>
      </c>
    </row>
    <row r="73" spans="1:15" ht="24" customHeight="1" x14ac:dyDescent="0.15">
      <c r="K73" s="21">
        <v>9000</v>
      </c>
      <c r="L73" s="24">
        <v>9</v>
      </c>
    </row>
    <row r="74" spans="1:15" ht="24" customHeight="1" x14ac:dyDescent="0.15">
      <c r="K74" s="21">
        <v>9000</v>
      </c>
      <c r="L74" s="24">
        <v>13</v>
      </c>
    </row>
    <row r="75" spans="1:15" ht="24" customHeight="1" x14ac:dyDescent="0.15">
      <c r="K75" s="21">
        <v>7000</v>
      </c>
      <c r="L75" s="24">
        <v>13</v>
      </c>
    </row>
    <row r="76" spans="1:15" ht="24" customHeight="1" x14ac:dyDescent="0.15">
      <c r="K76" s="21">
        <v>9000</v>
      </c>
      <c r="L76" s="24">
        <v>17</v>
      </c>
    </row>
    <row r="77" spans="1:15" ht="24" customHeight="1" x14ac:dyDescent="0.15"/>
    <row r="78" spans="1:15" ht="27.75" customHeight="1" x14ac:dyDescent="0.15">
      <c r="K78" s="106" t="s">
        <v>329</v>
      </c>
      <c r="L78" s="107"/>
      <c r="M78" s="107"/>
      <c r="N78" s="107"/>
      <c r="O78" s="108"/>
    </row>
    <row r="79" spans="1:15" ht="24" customHeight="1" x14ac:dyDescent="0.15">
      <c r="K79" s="157" t="s">
        <v>330</v>
      </c>
      <c r="L79" s="104"/>
      <c r="M79" s="104"/>
      <c r="N79" s="104"/>
      <c r="O79" s="105"/>
    </row>
    <row r="80" spans="1:15" ht="32" customHeight="1" x14ac:dyDescent="0.15">
      <c r="K80" s="4" t="s">
        <v>331</v>
      </c>
      <c r="L80" s="4" t="s">
        <v>332</v>
      </c>
      <c r="M80" s="4" t="s">
        <v>333</v>
      </c>
      <c r="N80" s="119" t="s">
        <v>214</v>
      </c>
      <c r="O80" s="105"/>
    </row>
    <row r="81" spans="5:15" ht="26" customHeight="1" x14ac:dyDescent="0.15">
      <c r="K81" s="13" t="s">
        <v>334</v>
      </c>
      <c r="L81" s="35">
        <v>-9.9000000000000005E-2</v>
      </c>
      <c r="M81" s="35" t="s">
        <v>335</v>
      </c>
      <c r="N81" s="145" t="s">
        <v>336</v>
      </c>
      <c r="O81" s="105"/>
    </row>
    <row r="82" spans="5:15" ht="26" customHeight="1" x14ac:dyDescent="0.15">
      <c r="K82" s="13" t="s">
        <v>337</v>
      </c>
      <c r="L82" s="35">
        <v>0.22800000000000001</v>
      </c>
      <c r="M82" s="35" t="s">
        <v>338</v>
      </c>
      <c r="N82" s="145" t="s">
        <v>339</v>
      </c>
      <c r="O82" s="105"/>
    </row>
    <row r="83" spans="5:15" ht="29.25" customHeight="1" x14ac:dyDescent="0.15">
      <c r="K83" s="17" t="s">
        <v>340</v>
      </c>
      <c r="L83" s="36">
        <v>-0.437</v>
      </c>
      <c r="M83" s="36" t="s">
        <v>341</v>
      </c>
      <c r="N83" s="117" t="s">
        <v>342</v>
      </c>
      <c r="O83" s="105"/>
    </row>
    <row r="84" spans="5:15" ht="26" customHeight="1" x14ac:dyDescent="0.15">
      <c r="K84" s="17" t="s">
        <v>343</v>
      </c>
      <c r="L84" s="36">
        <v>-0.52100000000000002</v>
      </c>
      <c r="M84" s="36" t="s">
        <v>341</v>
      </c>
      <c r="N84" s="117" t="s">
        <v>344</v>
      </c>
      <c r="O84" s="105"/>
    </row>
    <row r="85" spans="5:15" ht="32.25" customHeight="1" x14ac:dyDescent="0.15">
      <c r="K85" s="17" t="s">
        <v>345</v>
      </c>
      <c r="L85" s="36">
        <v>-0.47299999999999998</v>
      </c>
      <c r="M85" s="36" t="s">
        <v>341</v>
      </c>
      <c r="N85" s="117" t="s">
        <v>346</v>
      </c>
      <c r="O85" s="105"/>
    </row>
    <row r="86" spans="5:15" ht="26" customHeight="1" x14ac:dyDescent="0.15">
      <c r="K86" s="14" t="s">
        <v>347</v>
      </c>
      <c r="L86" s="7">
        <v>0.91</v>
      </c>
      <c r="M86" s="7" t="s">
        <v>348</v>
      </c>
      <c r="N86" s="154" t="s">
        <v>349</v>
      </c>
      <c r="O86" s="105"/>
    </row>
    <row r="87" spans="5:15" ht="26" customHeight="1" x14ac:dyDescent="0.15"/>
    <row r="88" spans="5:15" ht="26" customHeight="1" x14ac:dyDescent="0.15">
      <c r="K88" s="106" t="s">
        <v>350</v>
      </c>
      <c r="L88" s="107"/>
      <c r="M88" s="107"/>
      <c r="N88" s="107"/>
      <c r="O88" s="108"/>
    </row>
    <row r="89" spans="5:15" ht="26" customHeight="1" x14ac:dyDescent="0.15">
      <c r="K89" s="157" t="s">
        <v>351</v>
      </c>
      <c r="L89" s="104"/>
      <c r="M89" s="104"/>
      <c r="N89" s="104"/>
      <c r="O89" s="105"/>
    </row>
    <row r="90" spans="5:15" ht="24" customHeight="1" x14ac:dyDescent="0.15">
      <c r="K90" s="4" t="s">
        <v>352</v>
      </c>
      <c r="L90" s="4" t="s">
        <v>353</v>
      </c>
      <c r="M90" s="4" t="s">
        <v>354</v>
      </c>
      <c r="N90" s="4" t="s">
        <v>355</v>
      </c>
      <c r="O90" s="119" t="s">
        <v>356</v>
      </c>
    </row>
    <row r="91" spans="5:15" ht="45" customHeight="1" x14ac:dyDescent="0.15">
      <c r="K91" s="13" t="s">
        <v>328</v>
      </c>
      <c r="L91" s="21">
        <v>12.61</v>
      </c>
      <c r="M91" s="21">
        <v>-1.03E-4</v>
      </c>
      <c r="N91" s="45">
        <v>0.01</v>
      </c>
      <c r="O91" s="31" t="s">
        <v>357</v>
      </c>
    </row>
    <row r="92" spans="5:15" ht="45" customHeight="1" x14ac:dyDescent="0.15">
      <c r="E92" s="92"/>
      <c r="F92" s="93"/>
      <c r="G92" s="87"/>
      <c r="K92" s="20" t="s">
        <v>223</v>
      </c>
      <c r="L92" s="25">
        <v>15</v>
      </c>
      <c r="M92" s="25">
        <v>-4.5</v>
      </c>
      <c r="N92" s="40">
        <v>0.191</v>
      </c>
      <c r="O92" s="32" t="s">
        <v>358</v>
      </c>
    </row>
    <row r="93" spans="5:15" ht="43.5" customHeight="1" x14ac:dyDescent="0.15">
      <c r="E93" s="88"/>
      <c r="F93" s="148"/>
      <c r="G93" s="149"/>
      <c r="K93" s="14" t="s">
        <v>229</v>
      </c>
      <c r="L93" s="22">
        <v>17.600000000000001</v>
      </c>
      <c r="M93" s="22">
        <v>-7.2</v>
      </c>
      <c r="N93" s="46">
        <v>0.27200000000000002</v>
      </c>
      <c r="O93" s="33" t="s">
        <v>359</v>
      </c>
    </row>
    <row r="94" spans="5:15" ht="45" customHeight="1" x14ac:dyDescent="0.15">
      <c r="F94" s="88"/>
      <c r="G94" s="89"/>
      <c r="K94" s="17" t="s">
        <v>217</v>
      </c>
      <c r="L94" s="23">
        <v>15.68</v>
      </c>
      <c r="M94" s="23">
        <v>-4.7368420000000002</v>
      </c>
      <c r="N94" s="30">
        <v>0.223</v>
      </c>
      <c r="O94" s="37" t="s">
        <v>360</v>
      </c>
    </row>
    <row r="95" spans="5:15" ht="62.25" customHeight="1" x14ac:dyDescent="0.15">
      <c r="F95" s="88"/>
      <c r="G95" s="89"/>
      <c r="K95" s="18" t="s">
        <v>361</v>
      </c>
      <c r="L95" s="24">
        <v>10.75</v>
      </c>
      <c r="M95" s="24">
        <v>2.5000000000000001E-4</v>
      </c>
      <c r="N95" s="43">
        <v>5.1999999999999998E-2</v>
      </c>
      <c r="O95" s="34" t="s">
        <v>362</v>
      </c>
    </row>
    <row r="96" spans="5:15" ht="45" customHeight="1" x14ac:dyDescent="0.15"/>
    <row r="97" spans="8:15" ht="36" customHeight="1" x14ac:dyDescent="0.15">
      <c r="K97" s="138" t="s">
        <v>363</v>
      </c>
      <c r="L97" s="112"/>
      <c r="M97" s="112"/>
      <c r="N97" s="112"/>
      <c r="O97" s="113"/>
    </row>
    <row r="98" spans="8:15" ht="172.5" customHeight="1" x14ac:dyDescent="0.15">
      <c r="K98" s="124" t="s">
        <v>364</v>
      </c>
      <c r="L98" s="125"/>
      <c r="M98" s="125"/>
      <c r="N98" s="125"/>
      <c r="O98" s="126"/>
    </row>
    <row r="99" spans="8:15" ht="24" customHeight="1" x14ac:dyDescent="0.15"/>
    <row r="100" spans="8:15" ht="24" customHeight="1" x14ac:dyDescent="0.15">
      <c r="K100" s="86"/>
      <c r="L100" s="87"/>
    </row>
    <row r="101" spans="8:15" ht="32" customHeight="1" x14ac:dyDescent="0.15">
      <c r="H101" s="90"/>
      <c r="I101" s="90"/>
      <c r="J101" s="90"/>
      <c r="K101" s="91"/>
      <c r="L101" s="89"/>
    </row>
    <row r="102" spans="8:15" ht="32" customHeight="1" x14ac:dyDescent="0.15"/>
    <row r="103" spans="8:15" ht="32" customHeight="1" x14ac:dyDescent="0.15"/>
    <row r="104" spans="8:15" ht="32" customHeight="1" x14ac:dyDescent="0.15"/>
    <row r="105" spans="8:15" ht="10" customHeight="1" x14ac:dyDescent="0.15"/>
    <row r="106" spans="8:15" ht="30" customHeight="1" x14ac:dyDescent="0.15"/>
    <row r="107" spans="8:15" ht="24" customHeight="1" x14ac:dyDescent="0.15"/>
    <row r="108" spans="8:15" ht="22" customHeight="1" x14ac:dyDescent="0.15"/>
    <row r="109" spans="8:15" ht="22" customHeight="1" x14ac:dyDescent="0.15"/>
    <row r="110" spans="8:15" ht="22" customHeight="1" x14ac:dyDescent="0.15"/>
    <row r="111" spans="8:15" ht="22" customHeight="1" x14ac:dyDescent="0.15"/>
    <row r="112" spans="8:15" ht="8" customHeight="1" x14ac:dyDescent="0.15"/>
    <row r="113" ht="24" customHeight="1" x14ac:dyDescent="0.15"/>
    <row r="114" ht="22" customHeight="1" x14ac:dyDescent="0.15"/>
    <row r="115" ht="22" customHeight="1" x14ac:dyDescent="0.15"/>
    <row r="116" ht="22" customHeight="1" x14ac:dyDescent="0.15"/>
    <row r="117" ht="22" customHeight="1" x14ac:dyDescent="0.15"/>
    <row r="118" ht="22" customHeight="1" x14ac:dyDescent="0.15"/>
    <row r="119" ht="22" customHeight="1" x14ac:dyDescent="0.15"/>
    <row r="120" ht="8" customHeight="1" x14ac:dyDescent="0.15"/>
    <row r="121" ht="24" customHeight="1" x14ac:dyDescent="0.15"/>
    <row r="122" ht="22" customHeight="1" x14ac:dyDescent="0.15"/>
    <row r="123" ht="22" customHeight="1" x14ac:dyDescent="0.15"/>
    <row r="124" ht="22" customHeight="1" x14ac:dyDescent="0.15"/>
    <row r="125" ht="22" customHeight="1" x14ac:dyDescent="0.15"/>
    <row r="126" ht="22" customHeight="1" x14ac:dyDescent="0.15"/>
    <row r="127" ht="22" customHeight="1" x14ac:dyDescent="0.15"/>
    <row r="128" ht="22" customHeight="1" x14ac:dyDescent="0.15"/>
    <row r="129" ht="22" customHeight="1" x14ac:dyDescent="0.15"/>
    <row r="130" ht="22" customHeight="1" x14ac:dyDescent="0.15"/>
    <row r="131" ht="22" customHeight="1" x14ac:dyDescent="0.15"/>
    <row r="132" ht="8" customHeight="1" x14ac:dyDescent="0.15"/>
    <row r="133" ht="24" customHeight="1" x14ac:dyDescent="0.15"/>
    <row r="134" ht="22" customHeight="1" x14ac:dyDescent="0.15"/>
    <row r="135" ht="22" customHeight="1" x14ac:dyDescent="0.15"/>
    <row r="136" ht="22" customHeight="1" x14ac:dyDescent="0.15"/>
    <row r="137" ht="22" customHeight="1" x14ac:dyDescent="0.15"/>
    <row r="138" ht="22" customHeight="1" x14ac:dyDescent="0.15"/>
    <row r="139" ht="22" customHeight="1" x14ac:dyDescent="0.15"/>
    <row r="140" ht="22" customHeight="1" x14ac:dyDescent="0.15"/>
    <row r="141" ht="22" customHeight="1" x14ac:dyDescent="0.15"/>
    <row r="142" ht="22" customHeight="1" x14ac:dyDescent="0.15"/>
    <row r="143" ht="22" customHeight="1" x14ac:dyDescent="0.15"/>
    <row r="144" ht="10" customHeight="1" x14ac:dyDescent="0.15"/>
    <row r="145" ht="30" customHeight="1" x14ac:dyDescent="0.15"/>
    <row r="146" ht="22" customHeight="1" x14ac:dyDescent="0.15"/>
    <row r="147" ht="24" customHeight="1" x14ac:dyDescent="0.15"/>
    <row r="148" ht="34" customHeight="1" x14ac:dyDescent="0.15"/>
    <row r="149" ht="34" customHeight="1" x14ac:dyDescent="0.15"/>
    <row r="150" ht="34" customHeight="1" x14ac:dyDescent="0.15"/>
    <row r="151" ht="34" customHeight="1" x14ac:dyDescent="0.15"/>
    <row r="152" ht="34" customHeight="1" x14ac:dyDescent="0.15"/>
    <row r="153" ht="34" customHeight="1" x14ac:dyDescent="0.15"/>
    <row r="154" ht="10" customHeight="1" x14ac:dyDescent="0.15"/>
    <row r="155" ht="30" customHeight="1" x14ac:dyDescent="0.15"/>
    <row r="156" ht="22" customHeight="1" x14ac:dyDescent="0.15"/>
    <row r="157" ht="28" customHeight="1" x14ac:dyDescent="0.15"/>
    <row r="158" ht="52" customHeight="1" x14ac:dyDescent="0.15"/>
    <row r="159" ht="52" customHeight="1" x14ac:dyDescent="0.15"/>
    <row r="160" ht="52" customHeight="1" x14ac:dyDescent="0.15"/>
    <row r="161" ht="52" customHeight="1" x14ac:dyDescent="0.15"/>
    <row r="162" ht="52" customHeight="1" x14ac:dyDescent="0.15"/>
    <row r="163" ht="8" customHeight="1" x14ac:dyDescent="0.15"/>
    <row r="164" ht="24" customHeight="1" x14ac:dyDescent="0.15"/>
    <row r="165" ht="88" customHeight="1" x14ac:dyDescent="0.15"/>
    <row r="166" ht="10" customHeight="1" x14ac:dyDescent="0.15"/>
    <row r="167" ht="18" customHeight="1" x14ac:dyDescent="0.15"/>
  </sheetData>
  <mergeCells count="88">
    <mergeCell ref="K2:O2"/>
    <mergeCell ref="A53:E53"/>
    <mergeCell ref="N83:O83"/>
    <mergeCell ref="A2:E2"/>
    <mergeCell ref="B43:E43"/>
    <mergeCell ref="F93:G93"/>
    <mergeCell ref="B42:E42"/>
    <mergeCell ref="K39:O39"/>
    <mergeCell ref="L8:O8"/>
    <mergeCell ref="C7:D7"/>
    <mergeCell ref="A13:E13"/>
    <mergeCell ref="B34:E34"/>
    <mergeCell ref="L10:O10"/>
    <mergeCell ref="K4:O4"/>
    <mergeCell ref="A30:E30"/>
    <mergeCell ref="N86:O86"/>
    <mergeCell ref="L9:O9"/>
    <mergeCell ref="K24:O24"/>
    <mergeCell ref="D46:E46"/>
    <mergeCell ref="A3:E3"/>
    <mergeCell ref="D47:E47"/>
    <mergeCell ref="K12:O12"/>
    <mergeCell ref="A5:E5"/>
    <mergeCell ref="C8:D8"/>
    <mergeCell ref="A38:E38"/>
    <mergeCell ref="C18:D18"/>
    <mergeCell ref="A31:E31"/>
    <mergeCell ref="A24:E24"/>
    <mergeCell ref="L6:O6"/>
    <mergeCell ref="C20:D20"/>
    <mergeCell ref="C22:D22"/>
    <mergeCell ref="L7:O7"/>
    <mergeCell ref="K40:L40"/>
    <mergeCell ref="C21:D21"/>
    <mergeCell ref="C26:D26"/>
    <mergeCell ref="K5:O5"/>
    <mergeCell ref="B32:E32"/>
    <mergeCell ref="B63:E63"/>
    <mergeCell ref="B41:E41"/>
    <mergeCell ref="B35:E35"/>
    <mergeCell ref="C57:D57"/>
    <mergeCell ref="A60:E60"/>
    <mergeCell ref="C58:D58"/>
    <mergeCell ref="D49:E49"/>
    <mergeCell ref="A61:E61"/>
    <mergeCell ref="C10:D10"/>
    <mergeCell ref="C16:D16"/>
    <mergeCell ref="C25:D25"/>
    <mergeCell ref="B62:E62"/>
    <mergeCell ref="C55:D55"/>
    <mergeCell ref="C9:D9"/>
    <mergeCell ref="K98:O98"/>
    <mergeCell ref="C17:D17"/>
    <mergeCell ref="C19:D19"/>
    <mergeCell ref="D51:E51"/>
    <mergeCell ref="C28:D28"/>
    <mergeCell ref="B40:E40"/>
    <mergeCell ref="K25:O25"/>
    <mergeCell ref="B64:E64"/>
    <mergeCell ref="B33:E33"/>
    <mergeCell ref="N84:O84"/>
    <mergeCell ref="K97:O97"/>
    <mergeCell ref="N80:O80"/>
    <mergeCell ref="N82:O82"/>
    <mergeCell ref="K89:O89"/>
    <mergeCell ref="K79:O79"/>
    <mergeCell ref="K88:O88"/>
    <mergeCell ref="N85:O85"/>
    <mergeCell ref="A45:E45"/>
    <mergeCell ref="K54:O54"/>
    <mergeCell ref="D50:E50"/>
    <mergeCell ref="O90"/>
    <mergeCell ref="C54:D54"/>
    <mergeCell ref="D48:E48"/>
    <mergeCell ref="C56:D56"/>
    <mergeCell ref="K66:N66"/>
    <mergeCell ref="N81:O81"/>
    <mergeCell ref="A39:E39"/>
    <mergeCell ref="K78:O78"/>
    <mergeCell ref="C6:D6"/>
    <mergeCell ref="B65:E65"/>
    <mergeCell ref="K46:M46"/>
    <mergeCell ref="C15:D15"/>
    <mergeCell ref="B36:E36"/>
    <mergeCell ref="K32:O32"/>
    <mergeCell ref="C27:D27"/>
    <mergeCell ref="C14:D14"/>
    <mergeCell ref="C11:D1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86"/>
  <sheetViews>
    <sheetView tabSelected="1" topLeftCell="A40" zoomScale="68" workbookViewId="0">
      <selection activeCell="G47" sqref="G47"/>
    </sheetView>
  </sheetViews>
  <sheetFormatPr baseColWidth="10" defaultColWidth="8.83203125" defaultRowHeight="13" x14ac:dyDescent="0.15"/>
  <cols>
    <col min="1" max="1" width="30" customWidth="1"/>
    <col min="2" max="2" width="66.33203125" customWidth="1"/>
    <col min="3" max="3" width="25.83203125" customWidth="1"/>
    <col min="4" max="4" width="25.5" customWidth="1"/>
    <col min="12" max="12" width="9.1640625" customWidth="1"/>
  </cols>
  <sheetData>
    <row r="1" spans="1:9" ht="36" customHeight="1" thickBot="1" x14ac:dyDescent="0.2">
      <c r="A1" s="193" t="s">
        <v>505</v>
      </c>
      <c r="B1" s="107"/>
      <c r="C1" s="107"/>
      <c r="D1" s="107"/>
      <c r="E1" s="107"/>
      <c r="F1" s="107"/>
      <c r="G1" s="107"/>
      <c r="H1" s="107"/>
      <c r="I1" s="108"/>
    </row>
    <row r="2" spans="1:9" ht="24" customHeight="1" thickBot="1" x14ac:dyDescent="0.2">
      <c r="A2" s="194" t="s">
        <v>54</v>
      </c>
      <c r="B2" s="133"/>
      <c r="C2" s="133"/>
      <c r="D2" s="133"/>
      <c r="E2" s="133"/>
      <c r="F2" s="133"/>
      <c r="G2" s="133"/>
      <c r="H2" s="133"/>
      <c r="I2" s="133"/>
    </row>
    <row r="3" spans="1:9" ht="72.75" customHeight="1" thickBot="1" x14ac:dyDescent="0.2">
      <c r="A3" s="195" t="s">
        <v>506</v>
      </c>
      <c r="B3" s="107"/>
      <c r="C3" s="107"/>
      <c r="D3" s="107"/>
      <c r="E3" s="107"/>
      <c r="F3" s="107"/>
      <c r="G3" s="107"/>
      <c r="H3" s="107"/>
      <c r="I3" s="108"/>
    </row>
    <row r="4" spans="1:9" ht="93" customHeight="1" x14ac:dyDescent="0.15">
      <c r="A4" s="196" t="s">
        <v>365</v>
      </c>
      <c r="B4" s="196" t="s">
        <v>507</v>
      </c>
      <c r="C4" s="196" t="s">
        <v>508</v>
      </c>
      <c r="D4" s="196" t="s">
        <v>509</v>
      </c>
    </row>
    <row r="5" spans="1:9" ht="118.5" customHeight="1" x14ac:dyDescent="0.15">
      <c r="A5" s="197" t="s">
        <v>510</v>
      </c>
      <c r="B5" s="198" t="s">
        <v>511</v>
      </c>
      <c r="C5" s="199" t="s">
        <v>512</v>
      </c>
      <c r="D5" s="200" t="s">
        <v>513</v>
      </c>
    </row>
    <row r="6" spans="1:9" ht="75.75" customHeight="1" x14ac:dyDescent="0.15">
      <c r="A6" s="197" t="s">
        <v>514</v>
      </c>
      <c r="B6" s="198" t="s">
        <v>515</v>
      </c>
      <c r="C6" s="199" t="s">
        <v>516</v>
      </c>
      <c r="D6" s="200" t="s">
        <v>517</v>
      </c>
    </row>
    <row r="7" spans="1:9" ht="84.75" customHeight="1" x14ac:dyDescent="0.15">
      <c r="A7" s="197" t="s">
        <v>518</v>
      </c>
      <c r="B7" s="198" t="s">
        <v>519</v>
      </c>
      <c r="C7" s="199" t="s">
        <v>520</v>
      </c>
      <c r="D7" s="200" t="s">
        <v>521</v>
      </c>
    </row>
    <row r="8" spans="1:9" ht="24.75" customHeight="1" x14ac:dyDescent="0.15">
      <c r="A8" s="197" t="s">
        <v>522</v>
      </c>
      <c r="B8" s="198" t="s">
        <v>523</v>
      </c>
      <c r="C8" s="199" t="s">
        <v>524</v>
      </c>
      <c r="D8" s="200" t="s">
        <v>525</v>
      </c>
    </row>
    <row r="9" spans="1:9" ht="24.75" customHeight="1" x14ac:dyDescent="0.15">
      <c r="A9" s="197" t="s">
        <v>526</v>
      </c>
      <c r="B9" s="198" t="s">
        <v>527</v>
      </c>
      <c r="C9" s="199" t="s">
        <v>528</v>
      </c>
      <c r="D9" s="200" t="s">
        <v>529</v>
      </c>
    </row>
    <row r="10" spans="1:9" ht="28" customHeight="1" x14ac:dyDescent="0.15">
      <c r="A10" s="197" t="s">
        <v>530</v>
      </c>
      <c r="B10" s="198" t="s">
        <v>531</v>
      </c>
      <c r="C10" s="199" t="s">
        <v>532</v>
      </c>
      <c r="D10" s="200" t="s">
        <v>533</v>
      </c>
    </row>
    <row r="11" spans="1:9" ht="28" customHeight="1" thickBot="1" x14ac:dyDescent="0.2">
      <c r="A11" s="201"/>
      <c r="B11" s="202"/>
      <c r="C11" s="202"/>
      <c r="D11" s="202"/>
    </row>
    <row r="12" spans="1:9" ht="28" customHeight="1" thickBot="1" x14ac:dyDescent="0.2">
      <c r="A12" s="195" t="s">
        <v>534</v>
      </c>
      <c r="B12" s="107"/>
      <c r="C12" s="107"/>
      <c r="D12" s="107"/>
      <c r="E12" s="107"/>
      <c r="F12" s="107"/>
      <c r="G12" s="107"/>
      <c r="H12" s="107"/>
      <c r="I12" s="108"/>
    </row>
    <row r="13" spans="1:9" ht="40" customHeight="1" x14ac:dyDescent="0.15">
      <c r="A13" s="203" t="s">
        <v>540</v>
      </c>
      <c r="B13" s="204" t="s">
        <v>535</v>
      </c>
      <c r="C13" s="104"/>
      <c r="D13" s="104"/>
      <c r="E13" s="104"/>
      <c r="F13" s="104"/>
      <c r="G13" s="104"/>
      <c r="H13" s="104"/>
      <c r="I13" s="105"/>
    </row>
    <row r="14" spans="1:9" ht="40" customHeight="1" x14ac:dyDescent="0.15">
      <c r="A14" s="205" t="s">
        <v>536</v>
      </c>
      <c r="B14" s="206" t="s">
        <v>537</v>
      </c>
      <c r="C14" s="104"/>
      <c r="D14" s="104"/>
      <c r="E14" s="104"/>
      <c r="F14" s="104"/>
      <c r="G14" s="104"/>
      <c r="H14" s="104"/>
      <c r="I14" s="105"/>
    </row>
    <row r="15" spans="1:9" ht="40" customHeight="1" x14ac:dyDescent="0.15">
      <c r="A15" s="207" t="s">
        <v>538</v>
      </c>
      <c r="B15" s="208" t="s">
        <v>539</v>
      </c>
      <c r="C15" s="104"/>
      <c r="D15" s="104"/>
      <c r="E15" s="104"/>
      <c r="F15" s="104"/>
      <c r="G15" s="104"/>
      <c r="H15" s="104"/>
      <c r="I15" s="105"/>
    </row>
    <row r="16" spans="1:9" ht="40" customHeight="1" thickBot="1" x14ac:dyDescent="0.2">
      <c r="A16" s="210"/>
      <c r="B16" s="211"/>
      <c r="C16" s="212"/>
      <c r="D16" s="212"/>
      <c r="E16" s="209"/>
      <c r="F16" s="209"/>
      <c r="G16" s="209"/>
      <c r="H16" s="209"/>
      <c r="I16" s="209"/>
    </row>
    <row r="17" spans="1:9" ht="14" thickBot="1" x14ac:dyDescent="0.2">
      <c r="A17" s="195" t="s">
        <v>541</v>
      </c>
      <c r="B17" s="107"/>
      <c r="C17" s="107"/>
      <c r="D17" s="107"/>
      <c r="E17" s="107"/>
      <c r="F17" s="107"/>
      <c r="G17" s="107"/>
      <c r="H17" s="107"/>
      <c r="I17" s="108"/>
    </row>
    <row r="18" spans="1:9" ht="15" x14ac:dyDescent="0.15">
      <c r="A18" s="196" t="s">
        <v>542</v>
      </c>
      <c r="B18" s="196" t="s">
        <v>176</v>
      </c>
      <c r="C18" s="196" t="s">
        <v>543</v>
      </c>
      <c r="D18" s="196" t="s">
        <v>60</v>
      </c>
    </row>
    <row r="19" spans="1:9" ht="45" x14ac:dyDescent="0.15">
      <c r="A19" s="197" t="s">
        <v>206</v>
      </c>
      <c r="B19" s="198" t="s">
        <v>544</v>
      </c>
      <c r="C19" s="199" t="s">
        <v>545</v>
      </c>
      <c r="D19" s="200" t="s">
        <v>546</v>
      </c>
    </row>
    <row r="20" spans="1:9" ht="36" customHeight="1" x14ac:dyDescent="0.15">
      <c r="A20" s="213" t="s">
        <v>547</v>
      </c>
      <c r="B20" s="199" t="s">
        <v>548</v>
      </c>
      <c r="C20" s="198" t="s">
        <v>549</v>
      </c>
      <c r="D20" s="214" t="s">
        <v>550</v>
      </c>
    </row>
    <row r="21" spans="1:9" ht="28" customHeight="1" x14ac:dyDescent="0.15">
      <c r="A21" s="197" t="s">
        <v>215</v>
      </c>
      <c r="B21" s="198" t="s">
        <v>551</v>
      </c>
      <c r="C21" s="199" t="s">
        <v>552</v>
      </c>
      <c r="D21" s="200" t="s">
        <v>553</v>
      </c>
    </row>
    <row r="22" spans="1:9" ht="24" customHeight="1" x14ac:dyDescent="0.15">
      <c r="A22" s="213" t="s">
        <v>554</v>
      </c>
      <c r="B22" s="199" t="s">
        <v>555</v>
      </c>
      <c r="C22" s="198" t="s">
        <v>556</v>
      </c>
      <c r="D22" s="214" t="s">
        <v>557</v>
      </c>
    </row>
    <row r="23" spans="1:9" ht="83.25" customHeight="1" x14ac:dyDescent="0.15">
      <c r="A23" s="215" t="s">
        <v>558</v>
      </c>
      <c r="B23" s="214" t="s">
        <v>559</v>
      </c>
      <c r="C23" s="200" t="s">
        <v>560</v>
      </c>
      <c r="D23" s="216" t="s">
        <v>561</v>
      </c>
    </row>
    <row r="24" spans="1:9" ht="67.5" customHeight="1" thickBot="1" x14ac:dyDescent="0.2"/>
    <row r="25" spans="1:9" ht="77.25" customHeight="1" thickBot="1" x14ac:dyDescent="0.2">
      <c r="A25" s="195" t="s">
        <v>562</v>
      </c>
      <c r="B25" s="107"/>
      <c r="C25" s="107"/>
      <c r="D25" s="107"/>
      <c r="E25" s="107"/>
      <c r="F25" s="107"/>
      <c r="G25" s="107"/>
      <c r="H25" s="107"/>
      <c r="I25" s="108"/>
    </row>
    <row r="26" spans="1:9" ht="63" customHeight="1" x14ac:dyDescent="0.15">
      <c r="A26" s="196" t="s">
        <v>366</v>
      </c>
      <c r="B26" s="196" t="s">
        <v>176</v>
      </c>
      <c r="C26" s="196" t="s">
        <v>563</v>
      </c>
      <c r="D26" s="196" t="s">
        <v>564</v>
      </c>
    </row>
    <row r="27" spans="1:9" ht="88.5" customHeight="1" x14ac:dyDescent="0.15">
      <c r="A27" s="197" t="s">
        <v>565</v>
      </c>
      <c r="B27" s="198" t="s">
        <v>566</v>
      </c>
      <c r="C27" s="199" t="s">
        <v>567</v>
      </c>
      <c r="D27" s="200" t="s">
        <v>568</v>
      </c>
    </row>
    <row r="28" spans="1:9" ht="60" x14ac:dyDescent="0.15">
      <c r="A28" s="213" t="s">
        <v>569</v>
      </c>
      <c r="B28" s="199" t="s">
        <v>570</v>
      </c>
      <c r="C28" s="198" t="s">
        <v>571</v>
      </c>
      <c r="D28" s="214" t="s">
        <v>572</v>
      </c>
    </row>
    <row r="29" spans="1:9" ht="28" customHeight="1" x14ac:dyDescent="0.15">
      <c r="A29" s="215" t="s">
        <v>573</v>
      </c>
      <c r="B29" s="200" t="s">
        <v>574</v>
      </c>
      <c r="C29" s="214" t="s">
        <v>575</v>
      </c>
      <c r="D29" s="216" t="s">
        <v>576</v>
      </c>
    </row>
    <row r="30" spans="1:9" ht="24" customHeight="1" x14ac:dyDescent="0.15"/>
    <row r="31" spans="1:9" ht="55.5" customHeight="1" thickBot="1" x14ac:dyDescent="0.2"/>
    <row r="32" spans="1:9" ht="57" customHeight="1" thickBot="1" x14ac:dyDescent="0.2">
      <c r="A32" s="195" t="s">
        <v>577</v>
      </c>
      <c r="B32" s="107"/>
      <c r="C32" s="107"/>
      <c r="D32" s="107"/>
      <c r="E32" s="107"/>
      <c r="F32" s="107"/>
      <c r="G32" s="107"/>
      <c r="H32" s="107"/>
      <c r="I32" s="108"/>
    </row>
    <row r="33" spans="1:9" ht="50" customHeight="1" x14ac:dyDescent="0.15">
      <c r="A33" s="196" t="s">
        <v>578</v>
      </c>
      <c r="B33" s="196" t="s">
        <v>176</v>
      </c>
      <c r="C33" s="196" t="s">
        <v>101</v>
      </c>
      <c r="D33" s="196" t="s">
        <v>579</v>
      </c>
    </row>
    <row r="34" spans="1:9" ht="45" x14ac:dyDescent="0.15">
      <c r="A34" s="197" t="s">
        <v>580</v>
      </c>
      <c r="B34" s="217" t="s">
        <v>581</v>
      </c>
      <c r="C34" s="217" t="s">
        <v>582</v>
      </c>
      <c r="D34" s="218" t="s">
        <v>583</v>
      </c>
      <c r="E34" s="104"/>
      <c r="F34" s="104"/>
      <c r="G34" s="104"/>
      <c r="H34" s="104"/>
      <c r="I34" s="105"/>
    </row>
    <row r="35" spans="1:9" ht="45" customHeight="1" x14ac:dyDescent="0.15">
      <c r="A35" s="213" t="s">
        <v>584</v>
      </c>
      <c r="B35" s="219" t="s">
        <v>585</v>
      </c>
      <c r="C35" s="219" t="s">
        <v>586</v>
      </c>
      <c r="D35" s="208" t="s">
        <v>587</v>
      </c>
      <c r="E35" s="104"/>
      <c r="F35" s="104"/>
      <c r="G35" s="104"/>
      <c r="H35" s="104"/>
      <c r="I35" s="105"/>
    </row>
    <row r="36" spans="1:9" ht="45" x14ac:dyDescent="0.15">
      <c r="A36" s="220" t="s">
        <v>588</v>
      </c>
      <c r="B36" s="200" t="s">
        <v>589</v>
      </c>
      <c r="C36" s="200" t="s">
        <v>590</v>
      </c>
      <c r="D36" s="206" t="s">
        <v>591</v>
      </c>
      <c r="E36" s="104"/>
      <c r="F36" s="104"/>
      <c r="G36" s="104"/>
      <c r="H36" s="104"/>
      <c r="I36" s="105"/>
    </row>
    <row r="37" spans="1:9" ht="36" customHeight="1" x14ac:dyDescent="0.15">
      <c r="A37" s="221" t="s">
        <v>592</v>
      </c>
      <c r="B37" s="214" t="s">
        <v>593</v>
      </c>
      <c r="C37" s="214" t="s">
        <v>594</v>
      </c>
      <c r="D37" s="222" t="s">
        <v>595</v>
      </c>
      <c r="E37" s="104"/>
      <c r="F37" s="104"/>
      <c r="G37" s="104"/>
      <c r="H37" s="104"/>
      <c r="I37" s="105"/>
    </row>
    <row r="38" spans="1:9" ht="24" customHeight="1" x14ac:dyDescent="0.15">
      <c r="A38" s="215" t="s">
        <v>596</v>
      </c>
      <c r="B38" s="223" t="s">
        <v>597</v>
      </c>
      <c r="C38" s="223" t="s">
        <v>598</v>
      </c>
      <c r="D38" s="204" t="s">
        <v>599</v>
      </c>
      <c r="E38" s="104"/>
      <c r="F38" s="104"/>
      <c r="G38" s="104"/>
      <c r="H38" s="104"/>
      <c r="I38" s="105"/>
    </row>
    <row r="39" spans="1:9" ht="70" customHeight="1" x14ac:dyDescent="0.15">
      <c r="A39" s="224" t="s">
        <v>600</v>
      </c>
      <c r="B39" s="199" t="s">
        <v>601</v>
      </c>
      <c r="C39" s="199" t="s">
        <v>602</v>
      </c>
      <c r="D39" s="225" t="s">
        <v>603</v>
      </c>
      <c r="E39" s="104"/>
      <c r="F39" s="104"/>
      <c r="G39" s="104"/>
      <c r="H39" s="104"/>
      <c r="I39" s="105"/>
    </row>
    <row r="40" spans="1:9" ht="70" customHeight="1" x14ac:dyDescent="0.15">
      <c r="A40" s="246" t="s">
        <v>604</v>
      </c>
      <c r="B40" s="247" t="s">
        <v>605</v>
      </c>
      <c r="C40" s="247" t="s">
        <v>606</v>
      </c>
      <c r="D40" s="248" t="s">
        <v>607</v>
      </c>
      <c r="E40" s="104"/>
      <c r="F40" s="104"/>
      <c r="G40" s="104"/>
      <c r="H40" s="104"/>
      <c r="I40" s="105"/>
    </row>
    <row r="41" spans="1:9" ht="70" customHeight="1" x14ac:dyDescent="0.15">
      <c r="A41" s="201"/>
      <c r="B41" s="202"/>
      <c r="C41" s="202"/>
      <c r="D41" s="211"/>
      <c r="E41" s="209"/>
      <c r="F41" s="209"/>
      <c r="G41" s="209"/>
      <c r="H41" s="209"/>
      <c r="I41" s="209"/>
    </row>
    <row r="42" spans="1:9" ht="70" customHeight="1" x14ac:dyDescent="0.15">
      <c r="A42" s="201"/>
      <c r="B42" s="202"/>
      <c r="C42" s="202"/>
      <c r="D42" s="211"/>
      <c r="E42" s="209"/>
      <c r="F42" s="209"/>
      <c r="G42" s="209"/>
      <c r="H42" s="209"/>
      <c r="I42" s="209"/>
    </row>
    <row r="43" spans="1:9" ht="70" customHeight="1" x14ac:dyDescent="0.15">
      <c r="A43" s="201"/>
      <c r="B43" s="202"/>
      <c r="C43" s="202"/>
      <c r="D43" s="211"/>
      <c r="E43" s="209"/>
      <c r="F43" s="209"/>
      <c r="G43" s="209"/>
      <c r="H43" s="209"/>
      <c r="I43" s="209"/>
    </row>
    <row r="44" spans="1:9" ht="70" customHeight="1" x14ac:dyDescent="0.15">
      <c r="A44" s="201"/>
      <c r="B44" s="202"/>
      <c r="C44" s="202"/>
      <c r="D44" s="211"/>
      <c r="E44" s="209"/>
      <c r="F44" s="209"/>
      <c r="G44" s="209"/>
      <c r="H44" s="209"/>
      <c r="I44" s="209"/>
    </row>
    <row r="45" spans="1:9" ht="70" customHeight="1" x14ac:dyDescent="0.15">
      <c r="A45" s="201"/>
      <c r="B45" s="202"/>
      <c r="C45" s="202"/>
      <c r="D45" s="211"/>
      <c r="E45" s="209"/>
      <c r="F45" s="209"/>
      <c r="G45" s="209"/>
      <c r="H45" s="209"/>
      <c r="I45" s="209"/>
    </row>
    <row r="46" spans="1:9" ht="70" customHeight="1" x14ac:dyDescent="0.15">
      <c r="A46" s="201"/>
      <c r="B46" s="202"/>
      <c r="C46" s="202"/>
      <c r="D46" s="211"/>
      <c r="E46" s="209"/>
      <c r="F46" s="209"/>
      <c r="G46" s="209"/>
      <c r="H46" s="209"/>
      <c r="I46" s="209"/>
    </row>
    <row r="47" spans="1:9" ht="70" customHeight="1" x14ac:dyDescent="0.15">
      <c r="A47" s="201"/>
      <c r="B47" s="202"/>
      <c r="C47" s="202"/>
      <c r="D47" s="211"/>
      <c r="E47" s="209"/>
      <c r="F47" s="209"/>
      <c r="G47" s="209"/>
      <c r="H47" s="209"/>
      <c r="I47" s="209"/>
    </row>
    <row r="48" spans="1:9" ht="70" customHeight="1" x14ac:dyDescent="0.15">
      <c r="A48" s="201"/>
      <c r="B48" s="202"/>
      <c r="C48" s="202"/>
      <c r="D48" s="211"/>
      <c r="E48" s="209"/>
      <c r="F48" s="209"/>
      <c r="G48" s="209"/>
      <c r="H48" s="209"/>
      <c r="I48" s="209"/>
    </row>
    <row r="49" spans="1:21" ht="70" customHeight="1" x14ac:dyDescent="0.35">
      <c r="A49" s="201"/>
      <c r="B49" s="202"/>
      <c r="C49" s="202"/>
      <c r="D49" s="211"/>
      <c r="E49" s="209"/>
      <c r="F49" s="209"/>
      <c r="G49" s="209"/>
      <c r="H49" s="209"/>
      <c r="I49" s="209"/>
      <c r="L49" s="262" t="s">
        <v>687</v>
      </c>
      <c r="M49" s="263"/>
      <c r="N49" s="263"/>
      <c r="O49" s="263"/>
      <c r="P49" s="263"/>
      <c r="Q49" s="263"/>
      <c r="R49" s="263"/>
      <c r="S49" s="263"/>
      <c r="T49" s="263"/>
      <c r="U49" s="263"/>
    </row>
    <row r="50" spans="1:21" ht="70" customHeight="1" x14ac:dyDescent="0.15">
      <c r="A50" s="201"/>
      <c r="B50" s="202"/>
      <c r="C50" s="202"/>
      <c r="D50" s="211"/>
      <c r="E50" s="209"/>
      <c r="F50" s="209"/>
      <c r="G50" s="209"/>
      <c r="H50" s="209"/>
      <c r="I50" s="209"/>
    </row>
    <row r="51" spans="1:21" ht="70" customHeight="1" x14ac:dyDescent="0.15">
      <c r="A51" s="201"/>
      <c r="B51" s="202"/>
      <c r="C51" s="202"/>
      <c r="D51" s="211"/>
      <c r="E51" s="209"/>
      <c r="F51" s="209"/>
      <c r="G51" s="209"/>
      <c r="H51" s="209"/>
      <c r="I51" s="209"/>
    </row>
    <row r="52" spans="1:21" s="261" customFormat="1" ht="70" customHeight="1" x14ac:dyDescent="0.15">
      <c r="A52" s="201"/>
      <c r="B52" s="202"/>
      <c r="C52" s="202"/>
      <c r="D52" s="211"/>
      <c r="E52" s="212"/>
      <c r="F52" s="212"/>
      <c r="G52" s="212"/>
      <c r="H52" s="212"/>
      <c r="I52" s="212"/>
    </row>
    <row r="53" spans="1:21" ht="70" customHeight="1" thickBot="1" x14ac:dyDescent="0.2">
      <c r="A53" s="258" t="s">
        <v>608</v>
      </c>
      <c r="B53" s="259"/>
      <c r="C53" s="259"/>
      <c r="D53" s="259"/>
      <c r="E53" s="259"/>
      <c r="F53" s="259"/>
      <c r="G53" s="259"/>
      <c r="H53" s="259"/>
      <c r="I53" s="260"/>
    </row>
    <row r="54" spans="1:21" ht="81" customHeight="1" x14ac:dyDescent="0.15">
      <c r="A54" s="196" t="s">
        <v>609</v>
      </c>
      <c r="B54" s="196" t="s">
        <v>610</v>
      </c>
      <c r="C54" s="196" t="s">
        <v>611</v>
      </c>
      <c r="D54" s="196" t="s">
        <v>612</v>
      </c>
    </row>
    <row r="55" spans="1:21" ht="82.5" customHeight="1" x14ac:dyDescent="0.15">
      <c r="A55" s="197" t="s">
        <v>613</v>
      </c>
      <c r="B55" s="198" t="s">
        <v>397</v>
      </c>
      <c r="C55" s="199" t="s">
        <v>614</v>
      </c>
      <c r="D55" s="214" t="s">
        <v>615</v>
      </c>
    </row>
    <row r="56" spans="1:21" ht="60" customHeight="1" x14ac:dyDescent="0.15">
      <c r="A56" s="213" t="s">
        <v>616</v>
      </c>
      <c r="B56" s="199" t="s">
        <v>617</v>
      </c>
      <c r="C56" s="198" t="s">
        <v>618</v>
      </c>
      <c r="D56" s="200" t="s">
        <v>619</v>
      </c>
    </row>
    <row r="57" spans="1:21" ht="60" x14ac:dyDescent="0.15">
      <c r="A57" s="215" t="s">
        <v>620</v>
      </c>
      <c r="B57" s="200" t="s">
        <v>617</v>
      </c>
      <c r="C57" s="214" t="s">
        <v>621</v>
      </c>
      <c r="D57" s="216" t="s">
        <v>622</v>
      </c>
    </row>
    <row r="58" spans="1:21" ht="82" customHeight="1" x14ac:dyDescent="0.15">
      <c r="A58" s="197" t="s">
        <v>623</v>
      </c>
      <c r="B58" s="198" t="s">
        <v>617</v>
      </c>
      <c r="C58" s="219" t="s">
        <v>624</v>
      </c>
      <c r="D58" s="199" t="s">
        <v>625</v>
      </c>
    </row>
    <row r="59" spans="1:21" ht="31" customHeight="1" x14ac:dyDescent="0.15">
      <c r="A59" s="220" t="s">
        <v>626</v>
      </c>
      <c r="B59" s="214" t="s">
        <v>627</v>
      </c>
      <c r="C59" s="223" t="s">
        <v>628</v>
      </c>
      <c r="D59" s="216" t="s">
        <v>629</v>
      </c>
    </row>
    <row r="60" spans="1:21" ht="12.75" customHeight="1" x14ac:dyDescent="0.15"/>
    <row r="62" spans="1:21" ht="13" customHeight="1" x14ac:dyDescent="0.15"/>
    <row r="65" spans="1:9" ht="18" customHeight="1" thickBot="1" x14ac:dyDescent="0.2"/>
    <row r="66" spans="1:9" ht="14" customHeight="1" thickBot="1" x14ac:dyDescent="0.2">
      <c r="A66" s="249" t="s">
        <v>630</v>
      </c>
      <c r="B66" s="250"/>
      <c r="C66" s="250"/>
      <c r="D66" s="250"/>
      <c r="E66" s="250"/>
      <c r="F66" s="250"/>
      <c r="G66" s="250"/>
      <c r="H66" s="250"/>
      <c r="I66" s="251"/>
    </row>
    <row r="67" spans="1:9" ht="17.25" customHeight="1" x14ac:dyDescent="0.15">
      <c r="A67" s="255" t="s">
        <v>631</v>
      </c>
      <c r="B67" s="256"/>
      <c r="C67" s="256"/>
      <c r="D67" s="256"/>
      <c r="E67" s="256"/>
      <c r="F67" s="256"/>
      <c r="G67" s="256"/>
      <c r="H67" s="256"/>
      <c r="I67" s="257"/>
    </row>
    <row r="68" spans="1:9" ht="13" customHeight="1" x14ac:dyDescent="0.15"/>
    <row r="69" spans="1:9" x14ac:dyDescent="0.15">
      <c r="A69" s="226" t="s">
        <v>632</v>
      </c>
      <c r="B69" s="227" t="s">
        <v>633</v>
      </c>
      <c r="C69" s="228" t="s">
        <v>634</v>
      </c>
      <c r="D69" s="229" t="s">
        <v>635</v>
      </c>
      <c r="E69" s="230" t="s">
        <v>636</v>
      </c>
      <c r="F69" s="231" t="s">
        <v>637</v>
      </c>
    </row>
    <row r="70" spans="1:9" x14ac:dyDescent="0.15">
      <c r="A70" s="232"/>
      <c r="B70" s="232"/>
      <c r="C70" s="232"/>
      <c r="D70" s="232"/>
      <c r="E70" s="232"/>
      <c r="F70" s="232"/>
    </row>
    <row r="71" spans="1:9" ht="15" x14ac:dyDescent="0.15">
      <c r="B71" s="233" t="s">
        <v>638</v>
      </c>
      <c r="C71" s="233" t="s">
        <v>638</v>
      </c>
      <c r="D71" s="233" t="s">
        <v>638</v>
      </c>
      <c r="E71" s="233" t="s">
        <v>638</v>
      </c>
      <c r="F71" s="233" t="s">
        <v>638</v>
      </c>
    </row>
    <row r="72" spans="1:9" ht="36" x14ac:dyDescent="0.15">
      <c r="A72" s="234" t="s">
        <v>639</v>
      </c>
      <c r="B72" s="235" t="s">
        <v>640</v>
      </c>
      <c r="C72" s="236" t="s">
        <v>641</v>
      </c>
      <c r="D72" s="237" t="s">
        <v>642</v>
      </c>
      <c r="E72" s="238" t="s">
        <v>643</v>
      </c>
      <c r="F72" s="239" t="s">
        <v>644</v>
      </c>
    </row>
    <row r="73" spans="1:9" ht="24" x14ac:dyDescent="0.15">
      <c r="B73" s="240" t="s">
        <v>645</v>
      </c>
      <c r="C73" s="240" t="s">
        <v>646</v>
      </c>
      <c r="D73" s="240" t="s">
        <v>647</v>
      </c>
      <c r="E73" s="240" t="s">
        <v>648</v>
      </c>
      <c r="F73" s="240" t="s">
        <v>649</v>
      </c>
    </row>
    <row r="75" spans="1:9" ht="13" customHeight="1" x14ac:dyDescent="0.15">
      <c r="A75" s="252" t="s">
        <v>650</v>
      </c>
      <c r="B75" s="253"/>
      <c r="C75" s="253"/>
      <c r="D75" s="253"/>
      <c r="E75" s="253"/>
      <c r="F75" s="253"/>
      <c r="G75" s="253"/>
      <c r="H75" s="253"/>
      <c r="I75" s="254"/>
    </row>
    <row r="77" spans="1:9" x14ac:dyDescent="0.15">
      <c r="A77" s="241" t="s">
        <v>651</v>
      </c>
      <c r="B77" s="227" t="s">
        <v>652</v>
      </c>
      <c r="C77" s="229" t="s">
        <v>653</v>
      </c>
      <c r="D77" s="230" t="s">
        <v>654</v>
      </c>
      <c r="E77" s="242" t="s">
        <v>655</v>
      </c>
    </row>
    <row r="78" spans="1:9" x14ac:dyDescent="0.15">
      <c r="A78" s="232"/>
      <c r="B78" s="232"/>
      <c r="C78" s="232"/>
      <c r="D78" s="232"/>
      <c r="E78" s="232"/>
    </row>
    <row r="79" spans="1:9" ht="15" x14ac:dyDescent="0.15">
      <c r="B79" s="233" t="s">
        <v>638</v>
      </c>
      <c r="C79" s="233" t="s">
        <v>638</v>
      </c>
      <c r="D79" s="233" t="s">
        <v>638</v>
      </c>
      <c r="E79" s="233" t="s">
        <v>638</v>
      </c>
      <c r="F79" s="243" t="s">
        <v>656</v>
      </c>
    </row>
    <row r="80" spans="1:9" ht="24" x14ac:dyDescent="0.15">
      <c r="A80" s="244" t="s">
        <v>657</v>
      </c>
      <c r="B80" s="235" t="s">
        <v>658</v>
      </c>
      <c r="C80" s="237" t="s">
        <v>659</v>
      </c>
      <c r="D80" s="238" t="s">
        <v>660</v>
      </c>
      <c r="E80" s="245" t="s">
        <v>661</v>
      </c>
    </row>
    <row r="81" spans="1:9" ht="24" x14ac:dyDescent="0.15">
      <c r="B81" s="240" t="s">
        <v>662</v>
      </c>
      <c r="C81" s="240" t="s">
        <v>663</v>
      </c>
      <c r="D81" s="240" t="s">
        <v>664</v>
      </c>
      <c r="E81" s="240" t="s">
        <v>665</v>
      </c>
    </row>
    <row r="84" spans="1:9" ht="14" thickBot="1" x14ac:dyDescent="0.2"/>
    <row r="85" spans="1:9" ht="14" customHeight="1" thickBot="1" x14ac:dyDescent="0.2">
      <c r="A85" s="249" t="s">
        <v>666</v>
      </c>
      <c r="B85" s="250"/>
      <c r="C85" s="250"/>
      <c r="D85" s="250"/>
      <c r="E85" s="250"/>
      <c r="F85" s="250"/>
      <c r="G85" s="250"/>
      <c r="H85" s="250"/>
      <c r="I85" s="251"/>
    </row>
    <row r="86" spans="1:9" ht="15" x14ac:dyDescent="0.15">
      <c r="A86" s="196" t="s">
        <v>667</v>
      </c>
      <c r="B86" s="196" t="s">
        <v>668</v>
      </c>
      <c r="C86" s="196" t="s">
        <v>669</v>
      </c>
      <c r="D86" s="196" t="s">
        <v>670</v>
      </c>
    </row>
    <row r="87" spans="1:9" ht="60" x14ac:dyDescent="0.15">
      <c r="A87" s="215" t="s">
        <v>671</v>
      </c>
      <c r="B87" s="198" t="s">
        <v>672</v>
      </c>
      <c r="C87" s="199" t="s">
        <v>673</v>
      </c>
      <c r="D87" s="200" t="s">
        <v>674</v>
      </c>
    </row>
    <row r="88" spans="1:9" ht="60" x14ac:dyDescent="0.15">
      <c r="A88" s="213" t="s">
        <v>675</v>
      </c>
      <c r="B88" s="199" t="s">
        <v>676</v>
      </c>
      <c r="C88" s="198" t="s">
        <v>677</v>
      </c>
      <c r="D88" s="214" t="s">
        <v>678</v>
      </c>
    </row>
    <row r="89" spans="1:9" ht="60" x14ac:dyDescent="0.15">
      <c r="A89" s="224" t="s">
        <v>679</v>
      </c>
      <c r="B89" s="198" t="s">
        <v>680</v>
      </c>
      <c r="C89" s="219" t="s">
        <v>681</v>
      </c>
      <c r="D89" s="200" t="s">
        <v>682</v>
      </c>
    </row>
    <row r="90" spans="1:9" ht="75" x14ac:dyDescent="0.15">
      <c r="A90" s="221" t="s">
        <v>683</v>
      </c>
      <c r="B90" s="200" t="s">
        <v>684</v>
      </c>
      <c r="C90" s="223" t="s">
        <v>685</v>
      </c>
      <c r="D90" s="216" t="s">
        <v>686</v>
      </c>
    </row>
    <row r="92" spans="1:9" x14ac:dyDescent="0.15">
      <c r="C92" s="92"/>
    </row>
    <row r="93" spans="1:9" x14ac:dyDescent="0.15">
      <c r="D93" s="97"/>
    </row>
    <row r="94" spans="1:9" ht="12.75" customHeight="1" x14ac:dyDescent="0.15">
      <c r="D94" s="95"/>
    </row>
    <row r="95" spans="1:9" ht="12.75" customHeight="1" x14ac:dyDescent="0.15">
      <c r="D95" s="94"/>
      <c r="E95" s="84"/>
    </row>
    <row r="96" spans="1:9" ht="12.75" customHeight="1" x14ac:dyDescent="0.15">
      <c r="D96" s="96"/>
    </row>
    <row r="97" spans="3:4" ht="12.75" customHeight="1" x14ac:dyDescent="0.15"/>
    <row r="98" spans="3:4" ht="12.75" customHeight="1" x14ac:dyDescent="0.15"/>
    <row r="99" spans="3:4" ht="12.75" customHeight="1" x14ac:dyDescent="0.15"/>
    <row r="100" spans="3:4" ht="12.75" customHeight="1" x14ac:dyDescent="0.15"/>
    <row r="101" spans="3:4" ht="12.75" customHeight="1" x14ac:dyDescent="0.15"/>
    <row r="102" spans="3:4" ht="12.75" customHeight="1" x14ac:dyDescent="0.15"/>
    <row r="103" spans="3:4" ht="12.75" customHeight="1" x14ac:dyDescent="0.15"/>
    <row r="104" spans="3:4" ht="12.75" customHeight="1" x14ac:dyDescent="0.15"/>
    <row r="105" spans="3:4" ht="12.75" customHeight="1" x14ac:dyDescent="0.15"/>
    <row r="106" spans="3:4" ht="18.75" customHeight="1" x14ac:dyDescent="0.15">
      <c r="C106" s="101"/>
    </row>
    <row r="107" spans="3:4" ht="18.75" customHeight="1" x14ac:dyDescent="0.15"/>
    <row r="108" spans="3:4" ht="18.75" customHeight="1" x14ac:dyDescent="0.15"/>
    <row r="109" spans="3:4" ht="15" customHeight="1" x14ac:dyDescent="0.15">
      <c r="D109" s="91"/>
    </row>
    <row r="110" spans="3:4" x14ac:dyDescent="0.15">
      <c r="D110" s="98"/>
    </row>
    <row r="111" spans="3:4" ht="12.75" customHeight="1" x14ac:dyDescent="0.15"/>
    <row r="112" spans="3:4" ht="12.75" customHeight="1" x14ac:dyDescent="0.15"/>
    <row r="151" spans="4:29" ht="20" x14ac:dyDescent="0.15">
      <c r="D151" s="99"/>
      <c r="E151" s="99"/>
      <c r="F151" s="99"/>
      <c r="G151" s="102"/>
    </row>
    <row r="152" spans="4:29" ht="12.75" customHeight="1" x14ac:dyDescent="0.15">
      <c r="D152" s="99"/>
      <c r="E152" s="99"/>
      <c r="F152" s="99"/>
      <c r="G152" s="102"/>
    </row>
    <row r="153" spans="4:29" ht="12.75" customHeight="1" x14ac:dyDescent="0.15">
      <c r="D153" s="99"/>
      <c r="E153" s="99"/>
      <c r="F153" s="99"/>
      <c r="G153" s="102"/>
    </row>
    <row r="154" spans="4:29" ht="12.75" customHeight="1" x14ac:dyDescent="0.15">
      <c r="D154" s="99"/>
      <c r="E154" s="99"/>
      <c r="F154" s="99"/>
      <c r="G154" s="102"/>
    </row>
    <row r="155" spans="4:29" ht="12.75" customHeight="1" x14ac:dyDescent="0.15">
      <c r="D155" s="99"/>
      <c r="E155" s="99"/>
      <c r="F155" s="99"/>
      <c r="G155" s="102"/>
    </row>
    <row r="156" spans="4:29" ht="12.75" customHeight="1" x14ac:dyDescent="0.15">
      <c r="D156" s="99"/>
      <c r="E156" s="99"/>
      <c r="F156" s="99"/>
      <c r="G156" s="102"/>
    </row>
    <row r="157" spans="4:29" ht="12.75" customHeight="1" x14ac:dyDescent="0.15">
      <c r="D157" s="99"/>
      <c r="E157" s="99"/>
      <c r="F157" s="99"/>
      <c r="G157" s="102"/>
    </row>
    <row r="158" spans="4:29" ht="12.75" customHeight="1" x14ac:dyDescent="0.15">
      <c r="D158" s="91"/>
      <c r="E158" s="91"/>
      <c r="F158" s="91"/>
      <c r="S158" s="91"/>
      <c r="T158" s="91"/>
      <c r="U158" s="91"/>
      <c r="V158" s="91"/>
      <c r="W158" s="91"/>
      <c r="X158" s="91"/>
      <c r="Y158" s="91"/>
      <c r="Z158" s="91"/>
      <c r="AA158" s="91"/>
      <c r="AB158" s="91"/>
      <c r="AC158" s="91"/>
    </row>
    <row r="159" spans="4:29" ht="12.75" customHeight="1" x14ac:dyDescent="0.15">
      <c r="S159" s="91"/>
      <c r="T159" s="100"/>
      <c r="U159" s="100"/>
      <c r="V159" s="100"/>
      <c r="W159" s="100"/>
      <c r="X159" s="100"/>
      <c r="Y159" s="100"/>
      <c r="Z159" s="100"/>
      <c r="AA159" s="100"/>
      <c r="AB159" s="100"/>
      <c r="AC159" s="91"/>
    </row>
    <row r="160" spans="4:29" x14ac:dyDescent="0.15">
      <c r="S160" s="91"/>
      <c r="T160" s="91"/>
      <c r="U160" s="91"/>
      <c r="V160" s="91"/>
      <c r="W160" s="91"/>
      <c r="X160" s="91"/>
      <c r="Y160" s="91"/>
      <c r="Z160" s="91"/>
      <c r="AA160" s="91"/>
      <c r="AB160" s="91"/>
      <c r="AC160" s="91"/>
    </row>
    <row r="180" ht="15" customHeight="1" x14ac:dyDescent="0.15"/>
    <row r="186" ht="18.75" customHeight="1" x14ac:dyDescent="0.15"/>
  </sheetData>
  <mergeCells count="33">
    <mergeCell ref="A85:I85"/>
    <mergeCell ref="A75:I75"/>
    <mergeCell ref="A77:A78"/>
    <mergeCell ref="B77:B78"/>
    <mergeCell ref="C77:C78"/>
    <mergeCell ref="D77:D78"/>
    <mergeCell ref="E77:E78"/>
    <mergeCell ref="A53:I53"/>
    <mergeCell ref="A66:I66"/>
    <mergeCell ref="A67:I67"/>
    <mergeCell ref="A69:A70"/>
    <mergeCell ref="B69:B70"/>
    <mergeCell ref="C69:C70"/>
    <mergeCell ref="D69:D70"/>
    <mergeCell ref="E69:E70"/>
    <mergeCell ref="F69:F70"/>
    <mergeCell ref="D36:I36"/>
    <mergeCell ref="D37:I37"/>
    <mergeCell ref="D38:I38"/>
    <mergeCell ref="D39:I39"/>
    <mergeCell ref="D40:I40"/>
    <mergeCell ref="A1:I1"/>
    <mergeCell ref="A2:I2"/>
    <mergeCell ref="A3:I3"/>
    <mergeCell ref="A12:I12"/>
    <mergeCell ref="B13:I13"/>
    <mergeCell ref="B14:I14"/>
    <mergeCell ref="B15:I15"/>
    <mergeCell ref="A17:I17"/>
    <mergeCell ref="A25:I25"/>
    <mergeCell ref="A32:I32"/>
    <mergeCell ref="D34:I34"/>
    <mergeCell ref="D35:I3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29"/>
  <sheetViews>
    <sheetView topLeftCell="A76" workbookViewId="0">
      <selection activeCell="P60" sqref="P60"/>
    </sheetView>
  </sheetViews>
  <sheetFormatPr baseColWidth="10" defaultColWidth="8.83203125" defaultRowHeight="13" x14ac:dyDescent="0.15"/>
  <cols>
    <col min="1" max="1" width="20.5" customWidth="1"/>
    <col min="2" max="2" width="8.83203125" customWidth="1"/>
    <col min="3" max="3" width="25.6640625" customWidth="1"/>
    <col min="4" max="4" width="32" customWidth="1"/>
    <col min="5" max="6" width="16" customWidth="1"/>
    <col min="7" max="7" width="12" customWidth="1"/>
    <col min="8" max="8" width="16" customWidth="1"/>
    <col min="9" max="9" width="12" customWidth="1"/>
    <col min="10" max="10" width="10" customWidth="1"/>
    <col min="11" max="11" width="14" customWidth="1"/>
    <col min="12" max="13" width="7" customWidth="1"/>
    <col min="14" max="14" width="9" customWidth="1"/>
    <col min="15" max="15" width="10" customWidth="1"/>
  </cols>
  <sheetData>
    <row r="1" spans="1:15" ht="50" customHeight="1" x14ac:dyDescent="0.15">
      <c r="A1" s="191" t="s">
        <v>367</v>
      </c>
      <c r="B1" s="133"/>
      <c r="C1" s="133"/>
      <c r="D1" s="133"/>
      <c r="E1" s="133"/>
      <c r="F1" s="133"/>
      <c r="G1" s="133"/>
      <c r="H1" s="133"/>
      <c r="I1" s="133"/>
      <c r="J1" s="133"/>
      <c r="K1" s="133"/>
      <c r="L1" s="133"/>
      <c r="M1" s="133"/>
      <c r="N1" s="133"/>
      <c r="O1" s="133"/>
    </row>
    <row r="2" spans="1:15" ht="40" customHeight="1" x14ac:dyDescent="0.15">
      <c r="A2" s="178" t="s">
        <v>368</v>
      </c>
      <c r="B2" s="133"/>
      <c r="C2" s="133"/>
      <c r="D2" s="133"/>
      <c r="E2" s="133"/>
      <c r="F2" s="133"/>
      <c r="G2" s="133"/>
      <c r="H2" s="133"/>
      <c r="I2" s="133"/>
      <c r="J2" s="133"/>
      <c r="K2" s="133"/>
      <c r="L2" s="133"/>
      <c r="M2" s="133"/>
      <c r="N2" s="133"/>
      <c r="O2" s="133"/>
    </row>
    <row r="3" spans="1:15" ht="36" customHeight="1" x14ac:dyDescent="0.15">
      <c r="A3" s="51" t="s">
        <v>369</v>
      </c>
      <c r="B3" s="51" t="s">
        <v>201</v>
      </c>
      <c r="C3" s="51" t="s">
        <v>370</v>
      </c>
      <c r="D3" s="51" t="s">
        <v>371</v>
      </c>
      <c r="E3" s="51" t="s">
        <v>372</v>
      </c>
      <c r="F3" s="51" t="s">
        <v>373</v>
      </c>
      <c r="G3" s="51" t="s">
        <v>374</v>
      </c>
      <c r="H3" s="51" t="s">
        <v>217</v>
      </c>
      <c r="I3" s="51" t="s">
        <v>223</v>
      </c>
      <c r="J3" s="51" t="s">
        <v>229</v>
      </c>
      <c r="K3" s="51" t="s">
        <v>375</v>
      </c>
      <c r="L3" s="51" t="s">
        <v>376</v>
      </c>
      <c r="M3" s="51" t="s">
        <v>377</v>
      </c>
      <c r="N3" s="51" t="s">
        <v>378</v>
      </c>
      <c r="O3" s="51" t="s">
        <v>379</v>
      </c>
    </row>
    <row r="4" spans="1:15" ht="16.5" customHeight="1" x14ac:dyDescent="0.15">
      <c r="A4" s="52">
        <v>1</v>
      </c>
      <c r="B4" s="56">
        <v>22</v>
      </c>
      <c r="C4" s="56" t="s">
        <v>17</v>
      </c>
      <c r="D4" s="56" t="s">
        <v>380</v>
      </c>
      <c r="E4" s="56" t="s">
        <v>381</v>
      </c>
      <c r="F4" s="56" t="s">
        <v>381</v>
      </c>
      <c r="G4" s="56" t="s">
        <v>20</v>
      </c>
      <c r="H4" s="56" t="s">
        <v>382</v>
      </c>
      <c r="I4" s="56" t="s">
        <v>22</v>
      </c>
      <c r="J4" s="56" t="s">
        <v>23</v>
      </c>
      <c r="K4" s="56" t="s">
        <v>24</v>
      </c>
      <c r="L4" s="57">
        <v>3</v>
      </c>
      <c r="M4" s="58">
        <v>2</v>
      </c>
      <c r="N4" s="57">
        <v>3</v>
      </c>
      <c r="O4" s="59">
        <v>5</v>
      </c>
    </row>
    <row r="5" spans="1:15" ht="16.5" customHeight="1" x14ac:dyDescent="0.15">
      <c r="A5" s="52">
        <v>2</v>
      </c>
      <c r="B5" s="60">
        <v>23</v>
      </c>
      <c r="C5" s="60" t="s">
        <v>17</v>
      </c>
      <c r="D5" s="60" t="s">
        <v>383</v>
      </c>
      <c r="E5" s="60" t="s">
        <v>384</v>
      </c>
      <c r="F5" s="60" t="s">
        <v>384</v>
      </c>
      <c r="G5" s="60" t="s">
        <v>20</v>
      </c>
      <c r="H5" s="60" t="s">
        <v>29</v>
      </c>
      <c r="I5" s="60" t="s">
        <v>29</v>
      </c>
      <c r="J5" s="60" t="s">
        <v>22</v>
      </c>
      <c r="K5" s="60" t="s">
        <v>24</v>
      </c>
      <c r="L5" s="59">
        <v>5</v>
      </c>
      <c r="M5" s="58">
        <v>1</v>
      </c>
      <c r="N5" s="59">
        <v>5</v>
      </c>
      <c r="O5" s="59">
        <v>5</v>
      </c>
    </row>
    <row r="6" spans="1:15" ht="16.5" customHeight="1" x14ac:dyDescent="0.15">
      <c r="A6" s="52">
        <v>3</v>
      </c>
      <c r="B6" s="56">
        <v>24</v>
      </c>
      <c r="C6" s="56" t="s">
        <v>17</v>
      </c>
      <c r="D6" s="56" t="s">
        <v>385</v>
      </c>
      <c r="E6" s="56" t="s">
        <v>284</v>
      </c>
      <c r="F6" s="56" t="s">
        <v>386</v>
      </c>
      <c r="G6" s="56" t="s">
        <v>20</v>
      </c>
      <c r="H6" s="56" t="s">
        <v>382</v>
      </c>
      <c r="I6" s="56" t="s">
        <v>22</v>
      </c>
      <c r="J6" s="56" t="s">
        <v>22</v>
      </c>
      <c r="K6" s="56" t="s">
        <v>24</v>
      </c>
      <c r="L6" s="58">
        <v>1</v>
      </c>
      <c r="M6" s="58">
        <v>1</v>
      </c>
      <c r="N6" s="59">
        <v>5</v>
      </c>
      <c r="O6" s="58">
        <v>1</v>
      </c>
    </row>
    <row r="7" spans="1:15" ht="16.5" customHeight="1" x14ac:dyDescent="0.15">
      <c r="A7" s="52">
        <v>4</v>
      </c>
      <c r="B7" s="60">
        <v>19</v>
      </c>
      <c r="C7" s="60" t="s">
        <v>17</v>
      </c>
      <c r="D7" s="60" t="s">
        <v>387</v>
      </c>
      <c r="E7" s="60" t="s">
        <v>388</v>
      </c>
      <c r="F7" s="60" t="s">
        <v>384</v>
      </c>
      <c r="G7" s="60" t="s">
        <v>37</v>
      </c>
      <c r="H7" s="60" t="s">
        <v>382</v>
      </c>
      <c r="I7" s="60" t="s">
        <v>23</v>
      </c>
      <c r="J7" s="60" t="s">
        <v>22</v>
      </c>
      <c r="K7" s="60" t="s">
        <v>38</v>
      </c>
      <c r="L7" s="58">
        <v>1</v>
      </c>
      <c r="M7" s="58">
        <v>1</v>
      </c>
      <c r="N7" s="58">
        <v>2</v>
      </c>
      <c r="O7" s="58">
        <v>2</v>
      </c>
    </row>
    <row r="8" spans="1:15" ht="16.5" customHeight="1" x14ac:dyDescent="0.15">
      <c r="A8" s="52">
        <v>5</v>
      </c>
      <c r="B8" s="56">
        <v>23</v>
      </c>
      <c r="C8" s="56" t="s">
        <v>17</v>
      </c>
      <c r="D8" s="56" t="s">
        <v>389</v>
      </c>
      <c r="E8" s="56" t="s">
        <v>384</v>
      </c>
      <c r="F8" s="56" t="s">
        <v>384</v>
      </c>
      <c r="G8" s="56" t="s">
        <v>20</v>
      </c>
      <c r="H8" s="56" t="s">
        <v>23</v>
      </c>
      <c r="I8" s="56" t="s">
        <v>23</v>
      </c>
      <c r="J8" s="56" t="s">
        <v>22</v>
      </c>
      <c r="K8" s="56" t="s">
        <v>38</v>
      </c>
      <c r="L8" s="57">
        <v>3</v>
      </c>
      <c r="M8" s="57">
        <v>3</v>
      </c>
      <c r="N8" s="59">
        <v>4</v>
      </c>
      <c r="O8" s="57">
        <v>3</v>
      </c>
    </row>
    <row r="9" spans="1:15" ht="16.5" customHeight="1" x14ac:dyDescent="0.15">
      <c r="A9" s="52">
        <v>6</v>
      </c>
      <c r="B9" s="60">
        <v>20</v>
      </c>
      <c r="C9" s="60" t="s">
        <v>43</v>
      </c>
      <c r="D9" s="60" t="s">
        <v>390</v>
      </c>
      <c r="E9" s="60" t="s">
        <v>284</v>
      </c>
      <c r="F9" s="60" t="s">
        <v>381</v>
      </c>
      <c r="G9" s="60" t="s">
        <v>37</v>
      </c>
      <c r="H9" s="60" t="s">
        <v>382</v>
      </c>
      <c r="I9" s="60" t="s">
        <v>22</v>
      </c>
      <c r="J9" s="60" t="s">
        <v>22</v>
      </c>
      <c r="K9" s="60" t="s">
        <v>23</v>
      </c>
      <c r="L9" s="58">
        <v>2</v>
      </c>
      <c r="M9" s="58">
        <v>2</v>
      </c>
      <c r="N9" s="58">
        <v>1</v>
      </c>
      <c r="O9" s="59">
        <v>4</v>
      </c>
    </row>
    <row r="10" spans="1:15" ht="16.5" customHeight="1" x14ac:dyDescent="0.15">
      <c r="A10" s="52">
        <v>7</v>
      </c>
      <c r="B10" s="56">
        <v>19</v>
      </c>
      <c r="C10" s="56" t="s">
        <v>43</v>
      </c>
      <c r="D10" s="56" t="s">
        <v>391</v>
      </c>
      <c r="E10" s="56" t="s">
        <v>284</v>
      </c>
      <c r="F10" s="56" t="s">
        <v>284</v>
      </c>
      <c r="G10" s="56" t="s">
        <v>20</v>
      </c>
      <c r="H10" s="56" t="s">
        <v>23</v>
      </c>
      <c r="I10" s="56" t="s">
        <v>23</v>
      </c>
      <c r="J10" s="56" t="s">
        <v>23</v>
      </c>
      <c r="K10" s="56" t="s">
        <v>24</v>
      </c>
      <c r="L10" s="57">
        <v>3</v>
      </c>
      <c r="M10" s="58">
        <v>2</v>
      </c>
      <c r="N10" s="59">
        <v>4</v>
      </c>
      <c r="O10" s="59">
        <v>4</v>
      </c>
    </row>
    <row r="11" spans="1:15" ht="16.5" customHeight="1" x14ac:dyDescent="0.15">
      <c r="A11" s="52">
        <v>8</v>
      </c>
      <c r="B11" s="60">
        <v>25</v>
      </c>
      <c r="C11" s="60" t="s">
        <v>43</v>
      </c>
      <c r="D11" s="60" t="s">
        <v>48</v>
      </c>
      <c r="E11" s="60" t="s">
        <v>386</v>
      </c>
      <c r="F11" s="60" t="s">
        <v>386</v>
      </c>
      <c r="G11" s="60" t="s">
        <v>49</v>
      </c>
      <c r="H11" s="60" t="s">
        <v>382</v>
      </c>
      <c r="I11" s="60" t="s">
        <v>22</v>
      </c>
      <c r="J11" s="60" t="s">
        <v>23</v>
      </c>
      <c r="K11" s="60" t="s">
        <v>23</v>
      </c>
      <c r="L11" s="57">
        <v>3</v>
      </c>
      <c r="M11" s="58">
        <v>2</v>
      </c>
      <c r="N11" s="57">
        <v>3</v>
      </c>
      <c r="O11" s="59">
        <v>5</v>
      </c>
    </row>
    <row r="12" spans="1:15" ht="16.5" customHeight="1" x14ac:dyDescent="0.15">
      <c r="A12" s="52">
        <v>9</v>
      </c>
      <c r="B12" s="56">
        <v>23</v>
      </c>
      <c r="C12" s="56" t="s">
        <v>17</v>
      </c>
      <c r="D12" s="56" t="s">
        <v>392</v>
      </c>
      <c r="E12" s="56" t="s">
        <v>284</v>
      </c>
      <c r="F12" s="56" t="s">
        <v>284</v>
      </c>
      <c r="G12" s="56" t="s">
        <v>37</v>
      </c>
      <c r="H12" s="56" t="s">
        <v>382</v>
      </c>
      <c r="I12" s="56" t="s">
        <v>23</v>
      </c>
      <c r="J12" s="56" t="s">
        <v>23</v>
      </c>
      <c r="K12" s="56" t="s">
        <v>24</v>
      </c>
      <c r="L12" s="59">
        <v>5</v>
      </c>
      <c r="M12" s="57">
        <v>3</v>
      </c>
      <c r="N12" s="59">
        <v>4</v>
      </c>
      <c r="O12" s="59">
        <v>5</v>
      </c>
    </row>
    <row r="13" spans="1:15" ht="16.5" customHeight="1" x14ac:dyDescent="0.15">
      <c r="A13" s="187" t="s">
        <v>393</v>
      </c>
      <c r="B13" s="188"/>
      <c r="C13" s="188"/>
      <c r="D13" s="188"/>
      <c r="E13" s="188"/>
      <c r="F13" s="188"/>
      <c r="G13" s="188"/>
      <c r="H13" s="188"/>
      <c r="I13" s="188"/>
      <c r="J13" s="188"/>
      <c r="K13" s="188"/>
      <c r="L13" s="188"/>
      <c r="M13" s="188"/>
      <c r="N13" s="188"/>
      <c r="O13" s="189"/>
    </row>
    <row r="17" spans="1:15" ht="16.5" customHeight="1" x14ac:dyDescent="0.15">
      <c r="A17" s="184" t="s">
        <v>394</v>
      </c>
      <c r="B17" s="133"/>
      <c r="C17" s="133"/>
      <c r="D17" s="133"/>
      <c r="E17" s="133"/>
      <c r="F17" s="133"/>
      <c r="G17" s="133"/>
      <c r="H17" s="133"/>
      <c r="I17" s="133"/>
      <c r="J17" s="133"/>
      <c r="K17" s="133"/>
      <c r="L17" s="133"/>
      <c r="M17" s="133"/>
      <c r="N17" s="133"/>
      <c r="O17" s="133"/>
    </row>
    <row r="18" spans="1:15" ht="30" customHeight="1" x14ac:dyDescent="0.15">
      <c r="A18" s="173" t="s">
        <v>395</v>
      </c>
      <c r="B18" s="133"/>
      <c r="C18" s="133"/>
      <c r="D18" s="133"/>
      <c r="E18" s="133"/>
      <c r="F18" s="133"/>
      <c r="G18" s="133"/>
      <c r="H18" s="133"/>
      <c r="I18" s="133"/>
      <c r="J18" s="133"/>
      <c r="K18" s="133"/>
      <c r="L18" s="133"/>
      <c r="M18" s="133"/>
      <c r="N18" s="133"/>
      <c r="O18" s="133"/>
    </row>
    <row r="19" spans="1:15" ht="15.75" customHeight="1" x14ac:dyDescent="0.15">
      <c r="A19" s="169" t="s">
        <v>396</v>
      </c>
      <c r="B19" s="133"/>
      <c r="C19" s="133"/>
      <c r="D19" s="133"/>
      <c r="E19" s="133"/>
      <c r="F19" s="133"/>
      <c r="G19" s="133"/>
      <c r="H19" s="133"/>
      <c r="I19" s="133"/>
      <c r="J19" s="133"/>
      <c r="K19" s="133"/>
      <c r="L19" s="133"/>
      <c r="M19" s="133"/>
      <c r="N19" s="133"/>
      <c r="O19" s="133"/>
    </row>
    <row r="20" spans="1:15" ht="36" customHeight="1" x14ac:dyDescent="0.15">
      <c r="A20" s="51" t="s">
        <v>397</v>
      </c>
      <c r="B20" s="51" t="s">
        <v>201</v>
      </c>
      <c r="C20" s="51" t="s">
        <v>371</v>
      </c>
      <c r="D20" s="51" t="s">
        <v>328</v>
      </c>
      <c r="E20" s="51" t="s">
        <v>361</v>
      </c>
      <c r="F20" s="51" t="s">
        <v>398</v>
      </c>
      <c r="G20" s="51" t="s">
        <v>399</v>
      </c>
      <c r="H20" s="51" t="s">
        <v>400</v>
      </c>
      <c r="I20" s="51" t="s">
        <v>401</v>
      </c>
      <c r="J20" s="51" t="s">
        <v>402</v>
      </c>
      <c r="K20" s="51" t="s">
        <v>403</v>
      </c>
      <c r="L20" s="51" t="s">
        <v>404</v>
      </c>
      <c r="M20" s="171" t="s">
        <v>405</v>
      </c>
      <c r="N20" s="168"/>
      <c r="O20" s="163"/>
    </row>
    <row r="21" spans="1:15" ht="19.5" customHeight="1" x14ac:dyDescent="0.15">
      <c r="A21" s="52" t="s">
        <v>406</v>
      </c>
      <c r="B21" s="52">
        <v>22</v>
      </c>
      <c r="C21" s="52" t="s">
        <v>380</v>
      </c>
      <c r="D21" s="52">
        <v>5000</v>
      </c>
      <c r="E21" s="52">
        <v>5000</v>
      </c>
      <c r="F21" s="52">
        <v>0</v>
      </c>
      <c r="G21" s="52" t="s">
        <v>407</v>
      </c>
      <c r="H21" s="52">
        <v>3</v>
      </c>
      <c r="I21" s="52">
        <v>2</v>
      </c>
      <c r="J21" s="52">
        <v>3</v>
      </c>
      <c r="K21" s="52">
        <v>5</v>
      </c>
      <c r="L21" s="53">
        <v>0.65</v>
      </c>
      <c r="M21" s="167" t="s">
        <v>408</v>
      </c>
      <c r="N21" s="168"/>
      <c r="O21" s="163"/>
    </row>
    <row r="22" spans="1:15" ht="19.5" customHeight="1" x14ac:dyDescent="0.15">
      <c r="A22" s="52" t="s">
        <v>409</v>
      </c>
      <c r="B22" s="52">
        <v>23</v>
      </c>
      <c r="C22" s="52" t="s">
        <v>383</v>
      </c>
      <c r="D22" s="52">
        <v>1000</v>
      </c>
      <c r="E22" s="52">
        <v>1000</v>
      </c>
      <c r="F22" s="52">
        <v>0</v>
      </c>
      <c r="G22" s="52" t="s">
        <v>407</v>
      </c>
      <c r="H22" s="52">
        <v>5</v>
      </c>
      <c r="I22" s="52">
        <v>1</v>
      </c>
      <c r="J22" s="52">
        <v>5</v>
      </c>
      <c r="K22" s="52">
        <v>5</v>
      </c>
      <c r="L22" s="53">
        <v>0.8</v>
      </c>
      <c r="M22" s="167" t="s">
        <v>408</v>
      </c>
      <c r="N22" s="168"/>
      <c r="O22" s="163"/>
    </row>
    <row r="23" spans="1:15" ht="19.5" customHeight="1" x14ac:dyDescent="0.15">
      <c r="A23" s="52" t="s">
        <v>410</v>
      </c>
      <c r="B23" s="52">
        <v>24</v>
      </c>
      <c r="C23" s="52" t="s">
        <v>385</v>
      </c>
      <c r="D23" s="52">
        <v>9000</v>
      </c>
      <c r="E23" s="52">
        <v>7000</v>
      </c>
      <c r="F23" s="52">
        <v>2000</v>
      </c>
      <c r="G23" s="52" t="s">
        <v>407</v>
      </c>
      <c r="H23" s="52">
        <v>1</v>
      </c>
      <c r="I23" s="52">
        <v>1</v>
      </c>
      <c r="J23" s="52">
        <v>5</v>
      </c>
      <c r="K23" s="52">
        <v>1</v>
      </c>
      <c r="L23" s="54">
        <v>0.4</v>
      </c>
      <c r="M23" s="182" t="s">
        <v>411</v>
      </c>
      <c r="N23" s="168"/>
      <c r="O23" s="163"/>
    </row>
    <row r="24" spans="1:15" ht="19.5" customHeight="1" x14ac:dyDescent="0.15">
      <c r="A24" s="52" t="s">
        <v>412</v>
      </c>
      <c r="B24" s="52">
        <v>19</v>
      </c>
      <c r="C24" s="52" t="s">
        <v>387</v>
      </c>
      <c r="D24" s="52">
        <v>3000</v>
      </c>
      <c r="E24" s="52">
        <v>1000</v>
      </c>
      <c r="F24" s="52">
        <v>2000</v>
      </c>
      <c r="G24" s="52" t="s">
        <v>407</v>
      </c>
      <c r="H24" s="52">
        <v>1</v>
      </c>
      <c r="I24" s="52">
        <v>1</v>
      </c>
      <c r="J24" s="52">
        <v>2</v>
      </c>
      <c r="K24" s="52">
        <v>2</v>
      </c>
      <c r="L24" s="55">
        <v>0.3</v>
      </c>
      <c r="M24" s="183" t="s">
        <v>413</v>
      </c>
      <c r="N24" s="168"/>
      <c r="O24" s="163"/>
    </row>
    <row r="25" spans="1:15" ht="19.5" customHeight="1" x14ac:dyDescent="0.15">
      <c r="A25" s="52" t="s">
        <v>414</v>
      </c>
      <c r="B25" s="52">
        <v>23</v>
      </c>
      <c r="C25" s="52" t="s">
        <v>389</v>
      </c>
      <c r="D25" s="52">
        <v>1000</v>
      </c>
      <c r="E25" s="52">
        <v>1000</v>
      </c>
      <c r="F25" s="52">
        <v>0</v>
      </c>
      <c r="G25" s="52" t="s">
        <v>407</v>
      </c>
      <c r="H25" s="52">
        <v>3</v>
      </c>
      <c r="I25" s="52">
        <v>3</v>
      </c>
      <c r="J25" s="52">
        <v>4</v>
      </c>
      <c r="K25" s="52">
        <v>3</v>
      </c>
      <c r="L25" s="53">
        <v>0.65</v>
      </c>
      <c r="M25" s="167" t="s">
        <v>408</v>
      </c>
      <c r="N25" s="168"/>
      <c r="O25" s="163"/>
    </row>
    <row r="26" spans="1:15" ht="19.5" customHeight="1" x14ac:dyDescent="0.15">
      <c r="A26" s="52" t="s">
        <v>415</v>
      </c>
      <c r="B26" s="52">
        <v>20</v>
      </c>
      <c r="C26" s="52" t="s">
        <v>390</v>
      </c>
      <c r="D26" s="52">
        <v>9000</v>
      </c>
      <c r="E26" s="52">
        <v>5000</v>
      </c>
      <c r="F26" s="52">
        <v>4000</v>
      </c>
      <c r="G26" s="52" t="s">
        <v>407</v>
      </c>
      <c r="H26" s="52">
        <v>2</v>
      </c>
      <c r="I26" s="52">
        <v>2</v>
      </c>
      <c r="J26" s="52">
        <v>1</v>
      </c>
      <c r="K26" s="52">
        <v>4</v>
      </c>
      <c r="L26" s="54">
        <v>0.45</v>
      </c>
      <c r="M26" s="182" t="s">
        <v>411</v>
      </c>
      <c r="N26" s="168"/>
      <c r="O26" s="163"/>
    </row>
    <row r="27" spans="1:15" ht="19.5" customHeight="1" x14ac:dyDescent="0.15">
      <c r="A27" s="52" t="s">
        <v>416</v>
      </c>
      <c r="B27" s="52">
        <v>19</v>
      </c>
      <c r="C27" s="52" t="s">
        <v>391</v>
      </c>
      <c r="D27" s="52">
        <v>9000</v>
      </c>
      <c r="E27" s="52">
        <v>9000</v>
      </c>
      <c r="F27" s="52">
        <v>0</v>
      </c>
      <c r="G27" s="52" t="s">
        <v>407</v>
      </c>
      <c r="H27" s="52">
        <v>3</v>
      </c>
      <c r="I27" s="52">
        <v>2</v>
      </c>
      <c r="J27" s="52">
        <v>4</v>
      </c>
      <c r="K27" s="52">
        <v>4</v>
      </c>
      <c r="L27" s="53">
        <v>0.65</v>
      </c>
      <c r="M27" s="167" t="s">
        <v>408</v>
      </c>
      <c r="N27" s="168"/>
      <c r="O27" s="163"/>
    </row>
    <row r="28" spans="1:15" ht="19.5" customHeight="1" x14ac:dyDescent="0.15">
      <c r="A28" s="52" t="s">
        <v>417</v>
      </c>
      <c r="B28" s="52">
        <v>25</v>
      </c>
      <c r="C28" s="52" t="s">
        <v>48</v>
      </c>
      <c r="D28" s="52">
        <v>7000</v>
      </c>
      <c r="E28" s="52">
        <v>7000</v>
      </c>
      <c r="F28" s="52">
        <v>0</v>
      </c>
      <c r="G28" s="52" t="s">
        <v>407</v>
      </c>
      <c r="H28" s="52">
        <v>3</v>
      </c>
      <c r="I28" s="52">
        <v>2</v>
      </c>
      <c r="J28" s="52">
        <v>3</v>
      </c>
      <c r="K28" s="52">
        <v>5</v>
      </c>
      <c r="L28" s="53">
        <v>0.65</v>
      </c>
      <c r="M28" s="167" t="s">
        <v>408</v>
      </c>
      <c r="N28" s="168"/>
      <c r="O28" s="163"/>
    </row>
    <row r="29" spans="1:15" ht="19.5" customHeight="1" x14ac:dyDescent="0.15">
      <c r="A29" s="52" t="s">
        <v>418</v>
      </c>
      <c r="B29" s="52">
        <v>23</v>
      </c>
      <c r="C29" s="52" t="s">
        <v>392</v>
      </c>
      <c r="D29" s="52">
        <v>9000</v>
      </c>
      <c r="E29" s="52">
        <v>9000</v>
      </c>
      <c r="F29" s="52">
        <v>0</v>
      </c>
      <c r="G29" s="52" t="s">
        <v>407</v>
      </c>
      <c r="H29" s="52">
        <v>5</v>
      </c>
      <c r="I29" s="52">
        <v>3</v>
      </c>
      <c r="J29" s="52">
        <v>4</v>
      </c>
      <c r="K29" s="52">
        <v>5</v>
      </c>
      <c r="L29" s="53">
        <v>0.85</v>
      </c>
      <c r="M29" s="167" t="s">
        <v>408</v>
      </c>
      <c r="N29" s="168"/>
      <c r="O29" s="163"/>
    </row>
    <row r="30" spans="1:15" ht="19.5" customHeight="1" x14ac:dyDescent="0.15">
      <c r="A30" s="190" t="s">
        <v>419</v>
      </c>
      <c r="B30" s="133"/>
      <c r="C30" s="133"/>
      <c r="D30" s="47">
        <f>AVERAGE(D21:D29)</f>
        <v>5888.8888888888887</v>
      </c>
      <c r="E30" s="47">
        <f>AVERAGE(E21:E29)</f>
        <v>5000</v>
      </c>
      <c r="F30" s="47">
        <f>AVERAGE(F21:F29)</f>
        <v>888.88888888888891</v>
      </c>
      <c r="H30" s="47">
        <f>AVERAGE(H21:H29)</f>
        <v>2.8888888888888888</v>
      </c>
      <c r="I30" s="47">
        <f>AVERAGE(I21:I29)</f>
        <v>1.8888888888888888</v>
      </c>
      <c r="J30" s="47">
        <f>AVERAGE(J21:J29)</f>
        <v>3.4444444444444446</v>
      </c>
      <c r="K30" s="47">
        <f>AVERAGE(K21:K29)</f>
        <v>3.7777777777777777</v>
      </c>
      <c r="L30" s="48">
        <f>AVERAGE(L21:L29)</f>
        <v>0.6</v>
      </c>
    </row>
    <row r="34" spans="1:16" ht="15.75" customHeight="1" x14ac:dyDescent="0.15">
      <c r="A34" s="69" t="s">
        <v>420</v>
      </c>
      <c r="B34" s="74"/>
      <c r="C34" s="75"/>
      <c r="D34" s="71"/>
      <c r="E34" s="70"/>
      <c r="F34" s="70"/>
      <c r="G34" s="70"/>
      <c r="H34" s="70"/>
      <c r="I34" s="70"/>
      <c r="J34" s="70"/>
      <c r="K34" s="70"/>
      <c r="L34" s="70"/>
      <c r="M34" s="70"/>
      <c r="N34" s="70"/>
      <c r="O34" s="70"/>
    </row>
    <row r="35" spans="1:16" ht="21" customHeight="1" x14ac:dyDescent="0.15">
      <c r="A35" s="68" t="s">
        <v>421</v>
      </c>
      <c r="B35" s="172"/>
      <c r="C35" s="168"/>
      <c r="D35" s="163"/>
    </row>
    <row r="36" spans="1:16" ht="21" customHeight="1" x14ac:dyDescent="0.15">
      <c r="A36" s="72" t="s">
        <v>422</v>
      </c>
      <c r="B36" s="63">
        <f>AVERAGE(D21:D29)</f>
        <v>5888.8888888888887</v>
      </c>
      <c r="C36" s="166" t="s">
        <v>423</v>
      </c>
      <c r="D36" s="163"/>
    </row>
    <row r="37" spans="1:16" ht="21" customHeight="1" x14ac:dyDescent="0.15">
      <c r="A37" s="73" t="s">
        <v>424</v>
      </c>
      <c r="B37" s="64">
        <f>AVERAGE(E21:E29)</f>
        <v>5000</v>
      </c>
      <c r="C37" s="179" t="s">
        <v>425</v>
      </c>
      <c r="D37" s="163"/>
    </row>
    <row r="38" spans="1:16" ht="21" customHeight="1" x14ac:dyDescent="0.15">
      <c r="A38" s="72" t="s">
        <v>426</v>
      </c>
      <c r="B38" s="65">
        <f>(AVERAGE(D21:D29)-AVERAGE(E21:E29))/AVERAGE(D21:D29)</f>
        <v>0.15094339622641506</v>
      </c>
      <c r="C38" s="166" t="s">
        <v>427</v>
      </c>
      <c r="D38" s="163"/>
    </row>
    <row r="39" spans="1:16" ht="21" customHeight="1" x14ac:dyDescent="0.15">
      <c r="A39" s="73" t="s">
        <v>428</v>
      </c>
      <c r="B39" s="66">
        <f>AVERAGE(L21:L29)</f>
        <v>0.6</v>
      </c>
      <c r="C39" s="179" t="s">
        <v>429</v>
      </c>
      <c r="D39" s="163"/>
    </row>
    <row r="40" spans="1:16" ht="21" customHeight="1" x14ac:dyDescent="0.15">
      <c r="A40" s="72" t="s">
        <v>430</v>
      </c>
      <c r="B40" s="67">
        <f>STDEV(L21:L29)</f>
        <v>0.18200274723201315</v>
      </c>
      <c r="C40" s="166" t="s">
        <v>431</v>
      </c>
      <c r="D40" s="163"/>
    </row>
    <row r="41" spans="1:16" ht="21" customHeight="1" x14ac:dyDescent="0.15">
      <c r="A41" s="73" t="s">
        <v>432</v>
      </c>
      <c r="B41" s="64">
        <f>COUNTIF(M21:M29,"Yüksek Risk")</f>
        <v>6</v>
      </c>
      <c r="C41" s="179" t="s">
        <v>433</v>
      </c>
      <c r="D41" s="163"/>
    </row>
    <row r="42" spans="1:16" ht="21" customHeight="1" x14ac:dyDescent="0.15">
      <c r="A42" s="72" t="s">
        <v>434</v>
      </c>
      <c r="B42" s="63">
        <f>COUNTIF(M21:M29,"Orta Risk")</f>
        <v>2</v>
      </c>
      <c r="C42" s="166" t="s">
        <v>435</v>
      </c>
      <c r="D42" s="163"/>
    </row>
    <row r="43" spans="1:16" ht="21" customHeight="1" x14ac:dyDescent="0.15">
      <c r="A43" s="73" t="s">
        <v>436</v>
      </c>
      <c r="B43" s="64">
        <f>COUNTIF(M21:M29,"Düşük Risk")</f>
        <v>1</v>
      </c>
      <c r="C43" s="179" t="s">
        <v>437</v>
      </c>
      <c r="D43" s="163"/>
    </row>
    <row r="48" spans="1:16" ht="16.5" customHeight="1" x14ac:dyDescent="0.15">
      <c r="A48" s="181" t="s">
        <v>438</v>
      </c>
      <c r="B48" s="133"/>
      <c r="C48" s="133"/>
      <c r="D48" s="133"/>
      <c r="E48" s="133"/>
      <c r="F48" s="133"/>
      <c r="G48" s="133"/>
      <c r="H48" s="133"/>
      <c r="I48" s="133"/>
      <c r="J48" s="133"/>
      <c r="K48" s="133"/>
      <c r="L48" s="133"/>
      <c r="M48" s="133"/>
      <c r="N48" s="133"/>
      <c r="O48" s="133"/>
      <c r="P48" s="133"/>
    </row>
    <row r="49" spans="1:16" x14ac:dyDescent="0.15">
      <c r="A49" s="185" t="s">
        <v>439</v>
      </c>
      <c r="B49" s="133"/>
      <c r="C49" s="133"/>
      <c r="D49" s="133"/>
      <c r="E49" s="133"/>
      <c r="F49" s="133"/>
      <c r="G49" s="133"/>
      <c r="H49" s="133"/>
      <c r="I49" s="133"/>
      <c r="J49" s="133"/>
      <c r="K49" s="133"/>
      <c r="L49" s="133"/>
      <c r="M49" s="133"/>
      <c r="N49" s="133"/>
      <c r="O49" s="133"/>
      <c r="P49" s="133"/>
    </row>
    <row r="50" spans="1:16" ht="15.75" customHeight="1" x14ac:dyDescent="0.15">
      <c r="A50" s="169" t="s">
        <v>440</v>
      </c>
      <c r="B50" s="133"/>
      <c r="C50" s="133"/>
      <c r="D50" s="133"/>
      <c r="E50" s="133"/>
      <c r="H50" s="169" t="s">
        <v>441</v>
      </c>
      <c r="I50" s="133"/>
      <c r="J50" s="133"/>
      <c r="K50" s="133"/>
      <c r="L50" s="133"/>
      <c r="M50" s="133"/>
      <c r="N50" s="133"/>
      <c r="O50" s="133"/>
      <c r="P50" s="133"/>
    </row>
    <row r="51" spans="1:16" ht="17.25" customHeight="1" x14ac:dyDescent="0.15">
      <c r="C51" s="61" t="s">
        <v>442</v>
      </c>
      <c r="D51" s="61" t="s">
        <v>443</v>
      </c>
      <c r="K51" s="62" t="s">
        <v>405</v>
      </c>
      <c r="L51" s="186" t="s">
        <v>444</v>
      </c>
      <c r="M51" s="163"/>
    </row>
    <row r="52" spans="1:16" ht="17.25" customHeight="1" x14ac:dyDescent="0.15">
      <c r="C52" s="49" t="s">
        <v>20</v>
      </c>
      <c r="D52" s="49">
        <v>5</v>
      </c>
      <c r="K52" s="49" t="s">
        <v>408</v>
      </c>
      <c r="L52" s="172">
        <v>6</v>
      </c>
      <c r="M52" s="163"/>
    </row>
    <row r="53" spans="1:16" ht="17.25" customHeight="1" x14ac:dyDescent="0.15">
      <c r="C53" s="49" t="s">
        <v>37</v>
      </c>
      <c r="D53" s="49">
        <v>3</v>
      </c>
      <c r="K53" s="49" t="s">
        <v>411</v>
      </c>
      <c r="L53" s="172">
        <v>2</v>
      </c>
      <c r="M53" s="163"/>
    </row>
    <row r="54" spans="1:16" ht="17.25" customHeight="1" x14ac:dyDescent="0.15">
      <c r="C54" s="49" t="s">
        <v>49</v>
      </c>
      <c r="D54" s="49">
        <v>1</v>
      </c>
      <c r="K54" s="49" t="s">
        <v>413</v>
      </c>
      <c r="L54" s="172">
        <v>1</v>
      </c>
      <c r="M54" s="163"/>
    </row>
    <row r="87" spans="1:9" ht="15.75" customHeight="1" x14ac:dyDescent="0.15">
      <c r="A87" s="169" t="s">
        <v>445</v>
      </c>
      <c r="B87" s="133"/>
      <c r="C87" s="133"/>
      <c r="D87" s="133"/>
      <c r="E87" s="133"/>
      <c r="F87" s="133"/>
      <c r="G87" s="133"/>
      <c r="H87" s="133"/>
      <c r="I87" s="133"/>
    </row>
    <row r="88" spans="1:9" ht="18" customHeight="1" x14ac:dyDescent="0.15">
      <c r="A88" s="50" t="s">
        <v>397</v>
      </c>
      <c r="B88" s="50" t="s">
        <v>446</v>
      </c>
      <c r="C88" s="50" t="s">
        <v>447</v>
      </c>
    </row>
    <row r="89" spans="1:9" ht="15.75" customHeight="1" x14ac:dyDescent="0.15">
      <c r="A89" s="49" t="s">
        <v>448</v>
      </c>
      <c r="B89" s="49">
        <v>5000</v>
      </c>
      <c r="C89" s="49">
        <v>5000</v>
      </c>
    </row>
    <row r="90" spans="1:9" ht="15.75" customHeight="1" x14ac:dyDescent="0.15">
      <c r="A90" s="49" t="s">
        <v>449</v>
      </c>
      <c r="B90" s="49">
        <v>1000</v>
      </c>
      <c r="C90" s="49">
        <v>1000</v>
      </c>
    </row>
    <row r="91" spans="1:9" ht="15.75" customHeight="1" x14ac:dyDescent="0.15">
      <c r="A91" s="49" t="s">
        <v>450</v>
      </c>
      <c r="B91" s="49">
        <v>9000</v>
      </c>
      <c r="C91" s="49">
        <v>7000</v>
      </c>
    </row>
    <row r="92" spans="1:9" ht="15.75" customHeight="1" x14ac:dyDescent="0.15">
      <c r="A92" s="49" t="s">
        <v>451</v>
      </c>
      <c r="B92" s="49">
        <v>3000</v>
      </c>
      <c r="C92" s="49">
        <v>1000</v>
      </c>
    </row>
    <row r="93" spans="1:9" ht="15.75" customHeight="1" x14ac:dyDescent="0.15">
      <c r="A93" s="49" t="s">
        <v>452</v>
      </c>
      <c r="B93" s="49">
        <v>1000</v>
      </c>
      <c r="C93" s="49">
        <v>1000</v>
      </c>
    </row>
    <row r="94" spans="1:9" ht="15.75" customHeight="1" x14ac:dyDescent="0.15">
      <c r="A94" s="49" t="s">
        <v>453</v>
      </c>
      <c r="B94" s="49">
        <v>9000</v>
      </c>
      <c r="C94" s="49">
        <v>5000</v>
      </c>
    </row>
    <row r="95" spans="1:9" ht="15.75" customHeight="1" x14ac:dyDescent="0.15">
      <c r="A95" s="49" t="s">
        <v>454</v>
      </c>
      <c r="B95" s="49">
        <v>9000</v>
      </c>
      <c r="C95" s="49">
        <v>9000</v>
      </c>
    </row>
    <row r="96" spans="1:9" ht="15.75" customHeight="1" x14ac:dyDescent="0.15">
      <c r="A96" s="49" t="s">
        <v>455</v>
      </c>
      <c r="B96" s="49">
        <v>7000</v>
      </c>
      <c r="C96" s="49">
        <v>7000</v>
      </c>
    </row>
    <row r="97" spans="1:10" ht="15.75" customHeight="1" x14ac:dyDescent="0.15">
      <c r="A97" s="49" t="s">
        <v>456</v>
      </c>
      <c r="B97" s="49">
        <v>9000</v>
      </c>
      <c r="C97" s="49">
        <v>9000</v>
      </c>
    </row>
    <row r="111" spans="1:10" ht="16.5" customHeight="1" x14ac:dyDescent="0.15">
      <c r="A111" s="177" t="s">
        <v>457</v>
      </c>
      <c r="B111" s="133"/>
      <c r="C111" s="133"/>
      <c r="D111" s="133"/>
      <c r="E111" s="133"/>
      <c r="F111" s="133"/>
      <c r="G111" s="133"/>
      <c r="H111" s="133"/>
      <c r="I111" s="133"/>
      <c r="J111" s="133"/>
    </row>
    <row r="112" spans="1:10" x14ac:dyDescent="0.15">
      <c r="A112" s="175" t="s">
        <v>458</v>
      </c>
      <c r="B112" s="133"/>
      <c r="C112" s="133"/>
      <c r="D112" s="133"/>
      <c r="E112" s="133"/>
      <c r="F112" s="133"/>
      <c r="G112" s="133"/>
      <c r="H112" s="133"/>
      <c r="I112" s="133"/>
      <c r="J112" s="133"/>
    </row>
    <row r="113" spans="1:10" ht="15.75" customHeight="1" x14ac:dyDescent="0.15">
      <c r="A113" s="169" t="s">
        <v>459</v>
      </c>
      <c r="B113" s="133"/>
      <c r="C113" s="133"/>
      <c r="D113" s="133"/>
      <c r="E113" s="133"/>
      <c r="F113" s="133"/>
      <c r="G113" s="133"/>
      <c r="H113" s="133"/>
      <c r="I113" s="133"/>
      <c r="J113" s="133"/>
    </row>
    <row r="114" spans="1:10" ht="22.5" customHeight="1" x14ac:dyDescent="0.15">
      <c r="A114" s="51" t="s">
        <v>460</v>
      </c>
      <c r="B114" s="51" t="s">
        <v>461</v>
      </c>
      <c r="C114" s="171" t="s">
        <v>462</v>
      </c>
      <c r="D114" s="163"/>
      <c r="E114" s="171" t="s">
        <v>463</v>
      </c>
      <c r="F114" s="163"/>
      <c r="G114" s="171" t="s">
        <v>464</v>
      </c>
      <c r="H114" s="168"/>
      <c r="I114" s="168"/>
      <c r="J114" s="163"/>
    </row>
    <row r="115" spans="1:10" ht="36" customHeight="1" x14ac:dyDescent="0.15">
      <c r="A115" s="76">
        <v>1</v>
      </c>
      <c r="B115" s="76" t="s">
        <v>465</v>
      </c>
      <c r="C115" s="170" t="s">
        <v>466</v>
      </c>
      <c r="D115" s="163"/>
      <c r="E115" s="170" t="s">
        <v>467</v>
      </c>
      <c r="F115" s="163"/>
      <c r="G115" s="170" t="s">
        <v>468</v>
      </c>
      <c r="H115" s="168"/>
      <c r="I115" s="168"/>
      <c r="J115" s="163"/>
    </row>
    <row r="116" spans="1:10" ht="25.5" customHeight="1" x14ac:dyDescent="0.15">
      <c r="A116" s="76">
        <v>2</v>
      </c>
      <c r="B116" s="76" t="s">
        <v>465</v>
      </c>
      <c r="C116" s="170" t="s">
        <v>469</v>
      </c>
      <c r="D116" s="163"/>
      <c r="E116" s="170" t="s">
        <v>467</v>
      </c>
      <c r="F116" s="163"/>
      <c r="G116" s="170" t="s">
        <v>468</v>
      </c>
      <c r="H116" s="168"/>
      <c r="I116" s="168"/>
      <c r="J116" s="163"/>
    </row>
    <row r="117" spans="1:10" ht="25.5" customHeight="1" x14ac:dyDescent="0.15">
      <c r="A117" s="77">
        <v>3</v>
      </c>
      <c r="B117" s="77" t="s">
        <v>465</v>
      </c>
      <c r="C117" s="164" t="s">
        <v>470</v>
      </c>
      <c r="D117" s="163"/>
      <c r="E117" s="164" t="s">
        <v>471</v>
      </c>
      <c r="F117" s="163"/>
      <c r="G117" s="164" t="s">
        <v>472</v>
      </c>
      <c r="H117" s="168"/>
      <c r="I117" s="168"/>
      <c r="J117" s="163"/>
    </row>
    <row r="118" spans="1:10" ht="36" customHeight="1" x14ac:dyDescent="0.15">
      <c r="A118" s="78">
        <v>4</v>
      </c>
      <c r="B118" s="78" t="s">
        <v>465</v>
      </c>
      <c r="C118" s="176" t="s">
        <v>473</v>
      </c>
      <c r="D118" s="163"/>
      <c r="E118" s="176" t="s">
        <v>471</v>
      </c>
      <c r="F118" s="163"/>
      <c r="G118" s="176" t="s">
        <v>474</v>
      </c>
      <c r="H118" s="168"/>
      <c r="I118" s="168"/>
      <c r="J118" s="163"/>
    </row>
    <row r="119" spans="1:10" ht="24" customHeight="1" x14ac:dyDescent="0.15">
      <c r="A119" s="78">
        <v>5</v>
      </c>
      <c r="B119" s="78" t="s">
        <v>465</v>
      </c>
      <c r="C119" s="176" t="s">
        <v>475</v>
      </c>
      <c r="D119" s="163"/>
      <c r="E119" s="176" t="s">
        <v>476</v>
      </c>
      <c r="F119" s="163"/>
      <c r="G119" s="176" t="s">
        <v>474</v>
      </c>
      <c r="H119" s="168"/>
      <c r="I119" s="168"/>
      <c r="J119" s="163"/>
    </row>
    <row r="120" spans="1:10" ht="36" customHeight="1" x14ac:dyDescent="0.15">
      <c r="A120" s="78">
        <v>6</v>
      </c>
      <c r="B120" s="78" t="s">
        <v>465</v>
      </c>
      <c r="C120" s="176" t="s">
        <v>477</v>
      </c>
      <c r="D120" s="163"/>
      <c r="E120" s="176" t="s">
        <v>476</v>
      </c>
      <c r="F120" s="163"/>
      <c r="G120" s="176" t="s">
        <v>474</v>
      </c>
      <c r="H120" s="168"/>
      <c r="I120" s="168"/>
      <c r="J120" s="163"/>
    </row>
    <row r="122" spans="1:10" ht="22.5" customHeight="1" x14ac:dyDescent="0.15">
      <c r="A122" s="169" t="s">
        <v>478</v>
      </c>
      <c r="B122" s="133"/>
      <c r="C122" s="133"/>
      <c r="D122" s="133"/>
      <c r="E122" s="133"/>
      <c r="F122" s="133"/>
      <c r="G122" s="133"/>
      <c r="H122" s="133"/>
      <c r="I122" s="133"/>
      <c r="J122" s="133"/>
    </row>
    <row r="123" spans="1:10" ht="23.25" customHeight="1" x14ac:dyDescent="0.15">
      <c r="A123" s="51" t="s">
        <v>479</v>
      </c>
      <c r="B123" s="171" t="s">
        <v>480</v>
      </c>
      <c r="C123" s="163"/>
      <c r="D123" s="51" t="s">
        <v>481</v>
      </c>
      <c r="E123" s="171" t="s">
        <v>482</v>
      </c>
      <c r="F123" s="163"/>
    </row>
    <row r="124" spans="1:10" ht="36" customHeight="1" x14ac:dyDescent="0.15">
      <c r="A124" s="79" t="s">
        <v>483</v>
      </c>
      <c r="B124" s="180" t="s">
        <v>484</v>
      </c>
      <c r="C124" s="163"/>
      <c r="D124" s="80" t="s">
        <v>485</v>
      </c>
      <c r="E124" s="165" t="s">
        <v>486</v>
      </c>
      <c r="F124" s="163"/>
    </row>
    <row r="125" spans="1:10" ht="36" customHeight="1" x14ac:dyDescent="0.15">
      <c r="A125" s="81" t="s">
        <v>487</v>
      </c>
      <c r="B125" s="162" t="s">
        <v>488</v>
      </c>
      <c r="C125" s="163"/>
      <c r="D125" s="60" t="s">
        <v>489</v>
      </c>
      <c r="E125" s="165" t="s">
        <v>486</v>
      </c>
      <c r="F125" s="163"/>
    </row>
    <row r="126" spans="1:10" ht="36" customHeight="1" x14ac:dyDescent="0.15">
      <c r="A126" s="79" t="s">
        <v>490</v>
      </c>
      <c r="B126" s="180" t="s">
        <v>491</v>
      </c>
      <c r="C126" s="163"/>
      <c r="D126" s="80" t="s">
        <v>492</v>
      </c>
      <c r="E126" s="174" t="s">
        <v>493</v>
      </c>
      <c r="F126" s="163"/>
    </row>
    <row r="127" spans="1:10" ht="36" customHeight="1" x14ac:dyDescent="0.15">
      <c r="A127" s="81" t="s">
        <v>494</v>
      </c>
      <c r="B127" s="162" t="s">
        <v>495</v>
      </c>
      <c r="C127" s="163"/>
      <c r="D127" s="60" t="s">
        <v>496</v>
      </c>
      <c r="E127" s="165" t="s">
        <v>486</v>
      </c>
      <c r="F127" s="163"/>
    </row>
    <row r="128" spans="1:10" ht="36" customHeight="1" x14ac:dyDescent="0.15">
      <c r="A128" s="79" t="s">
        <v>497</v>
      </c>
      <c r="B128" s="180" t="s">
        <v>498</v>
      </c>
      <c r="C128" s="163"/>
      <c r="D128" s="80" t="s">
        <v>476</v>
      </c>
      <c r="E128" s="180" t="s">
        <v>499</v>
      </c>
      <c r="F128" s="163"/>
    </row>
    <row r="129" spans="1:6" ht="36" customHeight="1" x14ac:dyDescent="0.15">
      <c r="A129" s="81" t="s">
        <v>500</v>
      </c>
      <c r="B129" s="162" t="s">
        <v>501</v>
      </c>
      <c r="C129" s="163"/>
      <c r="D129" s="60" t="s">
        <v>502</v>
      </c>
      <c r="E129" s="165" t="s">
        <v>503</v>
      </c>
      <c r="F129" s="163"/>
    </row>
  </sheetData>
  <mergeCells count="74">
    <mergeCell ref="A1:O1"/>
    <mergeCell ref="E115:F115"/>
    <mergeCell ref="A113:J113"/>
    <mergeCell ref="A87:I87"/>
    <mergeCell ref="M20:O20"/>
    <mergeCell ref="G114:J114"/>
    <mergeCell ref="A13:O13"/>
    <mergeCell ref="A19:O19"/>
    <mergeCell ref="C119:D119"/>
    <mergeCell ref="G116:J116"/>
    <mergeCell ref="B127:C127"/>
    <mergeCell ref="E119:F119"/>
    <mergeCell ref="A30:C30"/>
    <mergeCell ref="E116:F116"/>
    <mergeCell ref="C39:D39"/>
    <mergeCell ref="E124:F124"/>
    <mergeCell ref="E120:F120"/>
    <mergeCell ref="L52:M52"/>
    <mergeCell ref="C38:D38"/>
    <mergeCell ref="E125:F125"/>
    <mergeCell ref="B124:C124"/>
    <mergeCell ref="G118:J118"/>
    <mergeCell ref="A2:O2"/>
    <mergeCell ref="C41:D41"/>
    <mergeCell ref="C117:D117"/>
    <mergeCell ref="E128:F128"/>
    <mergeCell ref="G115:J115"/>
    <mergeCell ref="A48:P48"/>
    <mergeCell ref="C40:D40"/>
    <mergeCell ref="M26:O26"/>
    <mergeCell ref="C118:D118"/>
    <mergeCell ref="G120:J120"/>
    <mergeCell ref="G117:J117"/>
    <mergeCell ref="E118:F118"/>
    <mergeCell ref="C114:D114"/>
    <mergeCell ref="M24:O24"/>
    <mergeCell ref="E114:F114"/>
    <mergeCell ref="A17:O17"/>
    <mergeCell ref="A18:O18"/>
    <mergeCell ref="E126:F126"/>
    <mergeCell ref="A112:J112"/>
    <mergeCell ref="G119:J119"/>
    <mergeCell ref="M21:O21"/>
    <mergeCell ref="M28:O28"/>
    <mergeCell ref="A111:J111"/>
    <mergeCell ref="M27:O27"/>
    <mergeCell ref="C43:D43"/>
    <mergeCell ref="M29:O29"/>
    <mergeCell ref="A50:E50"/>
    <mergeCell ref="M23:O23"/>
    <mergeCell ref="A49:P49"/>
    <mergeCell ref="C115:D115"/>
    <mergeCell ref="L51:M51"/>
    <mergeCell ref="L54:M54"/>
    <mergeCell ref="M22:O22"/>
    <mergeCell ref="A122:J122"/>
    <mergeCell ref="C116:D116"/>
    <mergeCell ref="E127:F127"/>
    <mergeCell ref="M25:O25"/>
    <mergeCell ref="E123:F123"/>
    <mergeCell ref="L53:M53"/>
    <mergeCell ref="C120:D120"/>
    <mergeCell ref="B35:D35"/>
    <mergeCell ref="C36:D36"/>
    <mergeCell ref="C37:D37"/>
    <mergeCell ref="H50:P50"/>
    <mergeCell ref="B123:C123"/>
    <mergeCell ref="B126:C126"/>
    <mergeCell ref="B129:C129"/>
    <mergeCell ref="E117:F117"/>
    <mergeCell ref="B125:C125"/>
    <mergeCell ref="E129:F129"/>
    <mergeCell ref="C42:D42"/>
    <mergeCell ref="B128:C12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4</vt:i4>
      </vt:variant>
    </vt:vector>
  </HeadingPairs>
  <TitlesOfParts>
    <vt:vector size="4" baseType="lpstr">
      <vt:lpstr>Form Yanıtları 1</vt:lpstr>
      <vt:lpstr>Sunum Hafta 4</vt:lpstr>
      <vt:lpstr>Sunum Hafta 5</vt:lpstr>
      <vt:lpstr>Sunum Hafta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BAHAR ATBAS</cp:lastModifiedBy>
  <dcterms:created xsi:type="dcterms:W3CDTF">2026-03-25T23:14:24Z</dcterms:created>
  <dcterms:modified xsi:type="dcterms:W3CDTF">2026-03-30T10:08:07Z</dcterms:modified>
</cp:coreProperties>
</file>